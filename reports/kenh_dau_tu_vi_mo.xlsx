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enh_dau_tu" sheetId="1" state="visible" r:id="rId1"/>
    <sheet xmlns:r="http://schemas.openxmlformats.org/officeDocument/2006/relationships" name="1b_Kenh_dau_tu_nam" sheetId="2" state="visible" r:id="rId2"/>
    <sheet xmlns:r="http://schemas.openxmlformats.org/officeDocument/2006/relationships" name="2_Fed_vs_NHNN" sheetId="3" state="visible" r:id="rId3"/>
    <sheet xmlns:r="http://schemas.openxmlformats.org/officeDocument/2006/relationships" name="3_Tin_dung_GDP" sheetId="4" state="visible" r:id="rId4"/>
    <sheet xmlns:r="http://schemas.openxmlformats.org/officeDocument/2006/relationships" name="4_Du_tru_XNK" sheetId="5" state="visible" r:id="rId5"/>
    <sheet xmlns:r="http://schemas.openxmlformats.org/officeDocument/2006/relationships" name="5_LDR_khu_vuc" sheetId="6" state="visible" r:id="rId6"/>
    <sheet xmlns:r="http://schemas.openxmlformats.org/officeDocument/2006/relationships" name="Nguon_ghi_c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nguồn</author>
  </authors>
  <commentList>
    <comment ref="O58" authorId="0" shapeId="0">
      <text>
        <t>SBS Biz (2024-03). regulatory KRW LDR (yedaeyul) avg of 5 major banks. 5 majors only (KB/Shinhan/Hana/Woori/NH); not system-wide; differs from IMF 126% level https://biz.sbs.co.kr/amp/article/20000308038</t>
      </text>
    </comment>
    <comment ref="O62" authorId="0" shapeId="0">
      <text>
        <t>SBS Biz (2025-03). regulatory KRW LDR avg of 5 major banks. 5 majors only https://biz.sbs.co.kr/amp/article/20000308038</t>
      </text>
    </comment>
    <comment ref="L63" authorId="0" shapeId="0">
      <text>
        <t>EdgeX news (BSP data) (2025-06). gross loans / deposits; banking system (BSP). year-ago value cited in article https://pro.edgex.exchange/en-US/news/article/philippines-loan-to-deposit-ratio-falling-by-2050</t>
      </text>
    </comment>
    <comment ref="O63" authorId="0" shapeId="0">
      <text>
        <t>SBS Biz (2025-06). regulatory KRW LDR avg of 5 major banks. 5 majors only https://biz.sbs.co.kr/amp/article/20000308038</t>
      </text>
    </comment>
    <comment ref="J64" authorId="0" shapeId="0">
      <text>
        <t>Business Today Malaysia (2025-08). system LDR (BNM monthly data; analyst calc). year-ago value cited in Aug-2026 article; page 403, value from search snippet https://www.businesstoday.com.my/2026/10/01/analysts-stay-neutral-on-banks-as-funding-costs-asset-quality-risks-build/</t>
      </text>
    </comment>
    <comment ref="O64" authorId="0" shapeId="0">
      <text>
        <t>SBS Biz (2025-09). regulatory KRW LDR avg of 5 major banks. 5 majors only https://biz.sbs.co.kr/amp/article/20000308038</t>
      </text>
    </comment>
    <comment ref="C65" authorId="0" shapeId="0">
      <text>
        <t>FPTS research (Cap nhat TT22 May2026) (2025-12). VND LDR system (FPTS; loans/deposits VND). from search snippet of PDF (PDF is image; not read directly); ~3pp above IMF-based 107.1 https://file.fpts.com.vn/FileStore2/File/2026/05/14/Cap_nhat_TT22_-_May2026_2670bfef.pdf</t>
      </text>
    </comment>
    <comment ref="F65" authorId="0" shapeId="0">
      <text>
        <t>Scienaptic news (2025-12). credit/deposit ratio scheduled commercial banks (RBI). as of 31-Dec-2025; value from search snippet https://www.scienaptic.ai/news-global/credit-deposit-ratio-at-banks-hit-81.75%25-in-dec-2025.-is-this-worrisome%3F-experts-weigh-in</t>
      </text>
    </comment>
    <comment ref="H65" authorId="0" shapeId="0">
      <text>
        <t>Kontan (OJK) (2025-12). LDR commercial banks (OJK). value from search snippet https://keuangan.kontan.co.id/news/ojk-kredit-perbankan-tumbuh-96-pada-2025-risiko-dan-likuiditas-tetap-terjaga</t>
      </text>
    </comment>
    <comment ref="L65" authorId="0" shapeId="0">
      <text>
        <t>Metrobank Wealth Insights (BSP) (2025-12). net loans incl IBL &amp; RRP / deposits; banking system (BSP). computed 16.607/21.882 trn PHP; NET loan basis - not same as gross series https://wealthinsights.metrobank.com.ph/news/philippine-banks-end-2025-with-nearly-p30-trillion-in-assets</t>
      </text>
    </comment>
    <comment ref="O65" authorId="0" shapeId="0">
      <text>
        <t>SBS Biz (2025-12). regulatory KRW LDR avg of 5 major banks. 5 majors only https://biz.sbs.co.kr/amp/article/20000308038</t>
      </text>
    </comment>
    <comment ref="C66" authorId="0" shapeId="0">
      <text>
        <t>FPTS research (Cap nhat TT22 May2026) (2026-03). VND LDR system (FPTS; loans/deposits VND). from search snippet of PDF; same series as 2025-12=110 https://file.fpts.com.vn/FileStore2/File/2026/05/14/Cap_nhat_TT22_-_May2026_2670bfef.pdf</t>
      </text>
    </comment>
    <comment ref="D66" authorId="0" shapeId="0">
      <text>
        <t>PBoC Financial Statistics Report Q1 2026 (2026-03). RMB+FX loans / RMB+FX deposits (all financial institutions). 284.51/350.23 trn yuan https://www.pbc.gov.cn/en/3688247/3688978/3709137/2026041614530685906/index.html</t>
      </text>
    </comment>
    <comment ref="F66" authorId="0" shapeId="0">
      <text>
        <t>NewKerala (RBI Bulletin) (2026-03). credit/deposit ratio scheduled commercial banks (RBI Bulletin). verified; RBI WSS fortnight 31-Mar-2026 reported 81.44 (unverified) https://www.newkerala.com/news/a/high-credit-deposit-ratio-does-not-signal-funding-constraint-199.htm</t>
      </text>
    </comment>
    <comment ref="H66" authorId="0" shapeId="0">
      <text>
        <t>Bisnis.com (OJK RDK) (2026-03). LDR commercial banks (OJK). Feb 2026 = 84.72; value from search snippet https://finansial.bisnis.com/read/20260506/90/1971914/ojk-catat-kredit-perbankan-tumbuh-949-sektor-konstruksi-jadi-penopang</t>
      </text>
    </comment>
    <comment ref="O66" authorId="0" shapeId="0">
      <text>
        <t>Asia Economy / SBS Biz (2026-03). regulatory KRW LDR avg of 5 major banks. 5 majors only; lowest since 2024-Q1; Q2 2026 not found https://view.asiae.co.kr/en/article/2026050309015369153</t>
      </text>
    </comment>
    <comment ref="Q66" authorId="0" shapeId="0">
      <text>
        <t>Kasikorn Research (2026-01). net loans+accrued interest / deposits; 17 Thai commercial banks. computed 13.48/16.50 trn THB https://www.kasikornresearch.com/en/analysis/k-social-media/Pages/Info421-Bankloan-FB-02-03-26.aspx</t>
      </text>
    </comment>
    <comment ref="B67" authorId="0" shapeId="0">
      <text>
        <t>Thoi bao Tai chinh Viet Nam (SBV press conf) (2026-06). simple system loans/deposits (SBV officials). SBV quoted range 112-114% as of 15/06/2026; midpoint used; pub 2026-07-02 https://thoibaotaichinhvietnam.vn/huy-dong-duoi-suc-truoc-da-tang-tin-dung-nhieu-nam-day-ldr-vot-len-114-200024.html</t>
      </text>
    </comment>
    <comment ref="D67" authorId="0" shapeId="0">
      <text>
        <t>PBoC Financial Statistics Report H1 2026 (2026-06). RMB+FX loans / RMB+FX deposits (all financial institutions). 286.43/354.33 trn yuan https://www.pbc.gov.cn/en/3688247/3688978/3709137/2026071615101246166/index.html</t>
      </text>
    </comment>
    <comment ref="F67" authorId="0" shapeId="0">
      <text>
        <t>News On AIR (RBI) (2026-06). credit/deposit ratio scheduled commercial banks (RBI fortnightly). computed 220.59/263.86 lakh crore INR fortnight 15-Jun-2026 https://newsonair.gov.in/rbi-says-bank-credit-rises-marginally-deposits-decline-slightly/</t>
      </text>
    </comment>
    <comment ref="H67" authorId="0" shapeId="0">
      <text>
        <t>CNN Indonesia (OJK) (2026-06). LDR commercial banks (OJK). verified in article; pub 2026-08-04 https://www.cnnindonesia.com/ekonomi/20260803215846-78-1388216/ojk-kredit-perbankan-tumbuh-1267-persen-hingga-juni-2026</t>
      </text>
    </comment>
    <comment ref="J67" authorId="0" shapeId="0">
      <text>
        <t>Business Today Malaysia (RHB) (2026-06). system LDR (BNM monthly data; RHB Research). -0.4pp YoY; value from search snippet https://www.businesstoday.com.my/2026/08/03/rhb-ib-sees-loan-growth-staying-on-track-for-full-year-forecast-between-5-5-5/</t>
      </text>
    </comment>
    <comment ref="L67" authorId="0" shapeId="0">
      <text>
        <t>EdgeX news (BSP data) (2026-06). gross loans / deposits; banking system (BSP). 17.781/22.394 trn PHP; pub 2026-07-28 https://pro.edgex.exchange/en-US/news/article/philippines-loan-to-deposit-ratio-falling-by-2050</t>
      </text>
    </comment>
    <comment ref="Q67" authorId="0" shapeId="0">
      <text>
        <t>Kasikorn Research (2026-04). net loans+accrued interest / deposits; 17 Thai commercial banks. computed 13.82/16.88 trn THB; BOT Q1 brief says LDR ~unchanged vs Dec 2025; no Q2 system value found https://www.kasikornresearch.com/en/analysis/k-social-media/Pages/Info469-BankLoan-FB-29-05-2026.aspx</t>
      </text>
    </comment>
    <comment ref="R67" authorId="0" shapeId="0">
      <text>
        <t>dulieukinhte API (NHNN) (2026-06). api.dulieukinhte.com series 33265/33446/33447</t>
      </text>
    </comment>
    <comment ref="S67" authorId="0" shapeId="0">
      <text>
        <t>dulieukinhte API (NHNN) (2026-06). api.dulieukinhte.com series 33265/33446/33447</t>
      </text>
    </comment>
    <comment ref="T67" authorId="0" shapeId="0">
      <text>
        <t>dulieukinhte API (NHNN) (2026-06). api.dulieukinhte.com series 33265/33446/33447</t>
      </text>
    </comment>
    <comment ref="U67" authorId="0" shapeId="0">
      <text>
        <t>dulieukinhte API (NHNN) (2026-06). api.dulieukinhte.com series 33265/33446/33447</t>
      </text>
    </comment>
    <comment ref="D68" authorId="0" shapeId="0">
      <text>
        <t>PBoC Financial Statistics Report Aug 2026 (2026-08). RMB+FX loans / RMB+FX deposits (all financial institutions). 286.15/355.77 trn yuan https://www.pbc.gov.cn/en/3688247/3688978/3709137/2026091810450078652/index.html</t>
      </text>
    </comment>
    <comment ref="H68" authorId="0" shapeId="0">
      <text>
        <t>Kontan (OJK) (2026-07). LDR commercial banks (OJK). verified; loans 9135 trn / DPK 10336 trn IDR https://keuangan.kontan.co.id/news/ldr-perbankan-naik-jadi-8838-ojk-sebut-likuiditas-masih-memadai</t>
      </text>
    </comment>
    <comment ref="J68" authorId="0" shapeId="0">
      <text>
        <t>Business Today Malaysia (2026-08). system LDR (BNM monthly data; analyst calc). value from search snippet (page 403); 2025-12 and 2026-03 not found https://www.businesstoday.com.my/2026/10/01/analysts-stay-neutral-on-banks-as-funding-costs-asset-quality-risks-build/</t>
      </text>
    </comment>
    <comment ref="R68" authorId="0" shapeId="0">
      <text>
        <t>SBV Deputy Governor press conference via VNBA (pub 2026-10-05) (2026-09). https://vnba.org.vn/vi/du-no-tin-dung-toan-he-thong-dat-khoang-20-75-trieu-ty-dong-tinh-den-30-9-2026-23786.htm</t>
      </text>
    </comment>
    <comment ref="S68" authorId="0" shapeId="0">
      <text>
        <t>dulieukinhte API (NHNN) (2026-07). api.dulieukinhte.com series 33265/33446/33447</t>
      </text>
    </comment>
    <comment ref="T68" authorId="0" shapeId="0">
      <text>
        <t>dulieukinhte API (NHNN) (2026-07). api.dulieukinhte.com series 33265/33446/33447</t>
      </text>
    </comment>
    <comment ref="U68" authorId="0" shapeId="0">
      <text>
        <t>dulieukinhte API (NHNN) (2026-07). api.dulieukinhte.com series 33265/33446/33447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5" customWidth="1" min="4" max="4"/>
    <col width="34" customWidth="1" min="5" max="5"/>
    <col width="17" customWidth="1" min="6" max="6"/>
    <col width="26" customWidth="1" min="7" max="7"/>
    <col width="12" customWidth="1" min="8" max="8"/>
    <col width="36" customWidth="1" min="9" max="9"/>
    <col width="29" customWidth="1" min="10" max="10"/>
    <col width="26" customWidth="1" min="11" max="11"/>
    <col width="40" customWidth="1" min="12" max="12"/>
    <col width="25" customWidth="1" min="13" max="13"/>
    <col width="38" customWidth="1" min="14" max="14"/>
    <col width="26" customWidth="1" min="15" max="15"/>
    <col width="27" customWidth="1" min="16" max="16"/>
    <col width="20" customWidth="1" min="17" max="17"/>
    <col width="13" customWidth="1" min="18" max="18"/>
    <col width="38" customWidth="1" min="19" max="19"/>
    <col width="31" customWidth="1" min="20" max="20"/>
    <col width="25" customWidth="1" min="21" max="21"/>
    <col width="44" customWidth="1" min="22" max="22"/>
    <col width="37" customWidth="1" min="23" max="23"/>
    <col width="42" customWidth="1" min="24" max="24"/>
  </cols>
  <sheetData>
    <row r="1">
      <c r="A1" s="1" t="inlineStr">
        <is>
          <t>time</t>
        </is>
      </c>
      <c r="B1" s="1" t="inlineStr">
        <is>
          <t>Vàng SJC bán (VND/lượng)</t>
        </is>
      </c>
      <c r="C1" s="1" t="inlineStr">
        <is>
          <t>Vàng thế giới (USD/oz)</t>
        </is>
      </c>
      <c r="D1" s="1" t="inlineStr">
        <is>
          <t>Vàng thế giới quy đổi (VND/lượng)</t>
        </is>
      </c>
      <c r="E1" s="1" t="inlineStr">
        <is>
          <t>Chênh SJC - thế giới (VND/lượng)</t>
        </is>
      </c>
      <c r="F1" s="1" t="inlineStr">
        <is>
          <t>USD/VND VCB bán</t>
        </is>
      </c>
      <c r="G1" s="1" t="inlineStr">
        <is>
          <t>USD/VND tỷ giá trung tâm</t>
        </is>
      </c>
      <c r="H1" s="1" t="inlineStr">
        <is>
          <t>VN-Index</t>
        </is>
      </c>
      <c r="I1" s="1" t="inlineStr">
        <is>
          <t>LS tiết kiệm 12T Big4 BQ tháng (%)</t>
        </is>
      </c>
      <c r="J1" s="1" t="inlineStr">
        <is>
          <t>LS tiền gửi BQ năm - WB (%)</t>
        </is>
      </c>
      <c r="K1" s="1" t="inlineStr">
        <is>
          <t>LN 12 tháng vàng SJC (%)</t>
        </is>
      </c>
      <c r="L1" s="1" t="inlineStr">
        <is>
          <t>LN 12 tháng vàng thế giới tính VND (%)</t>
        </is>
      </c>
      <c r="M1" s="1" t="inlineStr">
        <is>
          <t>LN 12 tháng USD VCB (%)</t>
        </is>
      </c>
      <c r="N1" s="1" t="inlineStr">
        <is>
          <t>LN 12 tháng USD tỷ giá trung tâm (%)</t>
        </is>
      </c>
      <c r="O1" s="1" t="inlineStr">
        <is>
          <t>LN 12 tháng VN-Index (%)</t>
        </is>
      </c>
      <c r="P1" s="1" t="inlineStr">
        <is>
          <t>LN 12 tháng tiết kiệm (%)</t>
        </is>
      </c>
      <c r="Q1" s="1" t="inlineStr">
        <is>
          <t>CPI so cùng kỳ (%)</t>
        </is>
      </c>
      <c r="R1" s="1" t="inlineStr">
        <is>
          <t>M2 (tỷ VND)</t>
        </is>
      </c>
      <c r="S1" s="1" t="inlineStr">
        <is>
          <t>Tăng trưởng M2 so cuối năm trước (%)</t>
        </is>
      </c>
      <c r="T1" s="1" t="inlineStr">
        <is>
          <t>Tăng trưởng M2 so cùng kỳ (%)</t>
        </is>
      </c>
      <c r="U1" s="1" t="inlineStr">
        <is>
          <t>Dư nợ tín dụng (tỷ VND)</t>
        </is>
      </c>
      <c r="V1" s="1" t="inlineStr">
        <is>
          <t>Tăng trưởng tín dụng so cuối năm trước (%)</t>
        </is>
      </c>
      <c r="W1" s="1" t="inlineStr">
        <is>
          <t>Tăng trưởng tín dụng so cùng kỳ (%)</t>
        </is>
      </c>
      <c r="X1" s="1" t="inlineStr">
        <is>
          <t>Tăng trưởng GDP thực so cùng kỳ (quý, %)</t>
        </is>
      </c>
    </row>
    <row r="2">
      <c r="A2" t="inlineStr">
        <is>
          <t>2010-01</t>
        </is>
      </c>
      <c r="B2" s="2" t="n">
        <v>26420000</v>
      </c>
      <c r="C2" s="2" t="n">
        <v>1083</v>
      </c>
      <c r="D2" s="2" t="n">
        <v>23425944.42747601</v>
      </c>
      <c r="E2" s="2" t="n">
        <v>2994055.572523993</v>
      </c>
      <c r="F2" t="inlineStr"/>
      <c r="G2" s="2" t="n">
        <v>17941</v>
      </c>
      <c r="H2" s="3" t="n">
        <v>482</v>
      </c>
      <c r="I2" t="inlineStr"/>
      <c r="J2" s="3" t="n">
        <v>11.19375</v>
      </c>
      <c r="K2" t="inlineStr"/>
      <c r="L2" t="inlineStr"/>
      <c r="M2" t="inlineStr"/>
      <c r="N2" t="inlineStr"/>
      <c r="O2" t="inlineStr"/>
      <c r="P2" t="inlineStr"/>
      <c r="Q2" s="3" t="n">
        <v>7.622162840864455</v>
      </c>
      <c r="R2" s="2" t="n">
        <v>1951164</v>
      </c>
      <c r="S2" s="3" t="n">
        <v>0.4</v>
      </c>
      <c r="T2" t="inlineStr"/>
      <c r="U2" s="2" t="n">
        <v>1938558</v>
      </c>
      <c r="V2" s="3" t="n">
        <v>0.26</v>
      </c>
      <c r="W2" t="inlineStr"/>
      <c r="X2" t="inlineStr"/>
    </row>
    <row r="3">
      <c r="A3" t="inlineStr">
        <is>
          <t>2010-02</t>
        </is>
      </c>
      <c r="B3" s="2" t="n">
        <v>26600000</v>
      </c>
      <c r="C3" s="2" t="n">
        <v>1118.300048828125</v>
      </c>
      <c r="D3" s="2" t="n">
        <v>25002519.13627335</v>
      </c>
      <c r="E3" s="2" t="n">
        <v>1597480.863726649</v>
      </c>
      <c r="F3" t="inlineStr"/>
      <c r="G3" s="2" t="n">
        <v>18544</v>
      </c>
      <c r="H3" s="3" t="n">
        <v>496.9</v>
      </c>
      <c r="I3" t="inlineStr"/>
      <c r="J3" s="3" t="n">
        <v>11.19375</v>
      </c>
      <c r="K3" t="inlineStr"/>
      <c r="L3" t="inlineStr"/>
      <c r="M3" t="inlineStr"/>
      <c r="N3" t="inlineStr"/>
      <c r="O3" t="inlineStr"/>
      <c r="P3" t="inlineStr"/>
      <c r="Q3" s="3" t="n">
        <v>8.462545450771319</v>
      </c>
      <c r="R3" s="2" t="n">
        <v>1970404</v>
      </c>
      <c r="S3" s="3" t="n">
        <v>0.98</v>
      </c>
      <c r="T3" t="inlineStr"/>
      <c r="U3" s="2" t="n">
        <v>1960600</v>
      </c>
      <c r="V3" s="3" t="n">
        <v>1.13</v>
      </c>
      <c r="W3" t="inlineStr"/>
      <c r="X3" t="inlineStr"/>
    </row>
    <row r="4">
      <c r="A4" t="inlineStr">
        <is>
          <t>2010-03</t>
        </is>
      </c>
      <c r="B4" s="2" t="n">
        <v>26130000</v>
      </c>
      <c r="C4" s="2" t="n">
        <v>1113.300048828125</v>
      </c>
      <c r="D4" s="2" t="n">
        <v>24890731.07383665</v>
      </c>
      <c r="E4" s="2" t="n">
        <v>1239268.926163353</v>
      </c>
      <c r="F4" t="inlineStr"/>
      <c r="G4" s="2" t="n">
        <v>18544</v>
      </c>
      <c r="H4" s="3" t="n">
        <v>499.2</v>
      </c>
      <c r="I4" t="inlineStr"/>
      <c r="J4" s="3" t="n">
        <v>11.19375</v>
      </c>
      <c r="K4" t="inlineStr"/>
      <c r="L4" t="inlineStr"/>
      <c r="M4" t="inlineStr"/>
      <c r="N4" t="inlineStr"/>
      <c r="O4" t="inlineStr"/>
      <c r="P4" t="inlineStr"/>
      <c r="Q4" s="3" t="n">
        <v>9.462100111842119</v>
      </c>
      <c r="R4" s="2" t="n">
        <v>1972413</v>
      </c>
      <c r="S4" s="3" t="n">
        <v>1.08</v>
      </c>
      <c r="T4" t="inlineStr"/>
      <c r="U4" s="2" t="n">
        <v>1998111</v>
      </c>
      <c r="V4" s="3" t="n">
        <v>3.07</v>
      </c>
      <c r="W4" s="3" t="n">
        <v>33.72846320754716</v>
      </c>
      <c r="X4" t="inlineStr"/>
    </row>
    <row r="5">
      <c r="A5" t="inlineStr">
        <is>
          <t>2010-04</t>
        </is>
      </c>
      <c r="B5" s="2" t="n">
        <v>26560000</v>
      </c>
      <c r="C5" s="2" t="n">
        <v>1180.099975585938</v>
      </c>
      <c r="D5" s="2" t="n">
        <v>26384217.95047057</v>
      </c>
      <c r="E5" s="2" t="n">
        <v>175782.0495294333</v>
      </c>
      <c r="F5" t="inlineStr"/>
      <c r="G5" s="2" t="n">
        <v>18544</v>
      </c>
      <c r="H5" s="3" t="n">
        <v>542.4</v>
      </c>
      <c r="I5" t="inlineStr"/>
      <c r="J5" s="3" t="n">
        <v>11.19375</v>
      </c>
      <c r="K5" t="inlineStr"/>
      <c r="L5" t="inlineStr"/>
      <c r="M5" t="inlineStr"/>
      <c r="N5" t="inlineStr"/>
      <c r="O5" t="inlineStr"/>
      <c r="P5" t="inlineStr"/>
      <c r="Q5" s="3" t="n">
        <v>9.233031441951889</v>
      </c>
      <c r="R5" s="2" t="n">
        <v>2030008</v>
      </c>
      <c r="S5" s="3" t="n">
        <v>4.04</v>
      </c>
      <c r="T5" t="inlineStr"/>
      <c r="U5" s="2" t="n">
        <v>2041422</v>
      </c>
      <c r="V5" s="3" t="n">
        <v>5.3</v>
      </c>
      <c r="W5" t="inlineStr"/>
      <c r="X5" t="inlineStr"/>
    </row>
    <row r="6">
      <c r="A6" t="inlineStr">
        <is>
          <t>2010-05</t>
        </is>
      </c>
      <c r="B6" s="2" t="n">
        <v>27720000</v>
      </c>
      <c r="C6" s="2" t="n">
        <v>1212.199951171875</v>
      </c>
      <c r="D6" s="2" t="n">
        <v>27101896.76547404</v>
      </c>
      <c r="E6" s="2" t="n">
        <v>618103.2345259562</v>
      </c>
      <c r="F6" t="inlineStr"/>
      <c r="G6" s="2" t="n">
        <v>18544</v>
      </c>
      <c r="H6" s="3" t="n">
        <v>507.4</v>
      </c>
      <c r="I6" t="inlineStr"/>
      <c r="J6" s="3" t="n">
        <v>11.19375</v>
      </c>
      <c r="K6" t="inlineStr"/>
      <c r="L6" t="inlineStr"/>
      <c r="M6" t="inlineStr"/>
      <c r="N6" t="inlineStr"/>
      <c r="O6" t="inlineStr"/>
      <c r="P6" t="inlineStr"/>
      <c r="Q6" s="3" t="n">
        <v>9.048148772247266</v>
      </c>
      <c r="R6" s="2" t="n">
        <v>2079540</v>
      </c>
      <c r="S6" s="3" t="n">
        <v>6.57</v>
      </c>
      <c r="T6" t="inlineStr"/>
      <c r="U6" s="2" t="n">
        <v>2079392</v>
      </c>
      <c r="V6" s="3" t="n">
        <v>7.26</v>
      </c>
      <c r="W6" t="inlineStr"/>
      <c r="X6" t="inlineStr"/>
    </row>
    <row r="7">
      <c r="A7" t="inlineStr">
        <is>
          <t>2010-06</t>
        </is>
      </c>
      <c r="B7" s="2" t="n">
        <v>28600000</v>
      </c>
      <c r="C7" s="2" t="n">
        <v>1245.5</v>
      </c>
      <c r="D7" s="2" t="n">
        <v>27846406.35298279</v>
      </c>
      <c r="E7" s="2" t="n">
        <v>753593.6470172144</v>
      </c>
      <c r="F7" t="inlineStr"/>
      <c r="G7" s="2" t="n">
        <v>18544</v>
      </c>
      <c r="H7" s="3" t="n">
        <v>507.1</v>
      </c>
      <c r="I7" t="inlineStr"/>
      <c r="J7" s="3" t="n">
        <v>11.19375</v>
      </c>
      <c r="K7" t="inlineStr"/>
      <c r="L7" t="inlineStr"/>
      <c r="M7" t="inlineStr"/>
      <c r="N7" t="inlineStr"/>
      <c r="O7" t="inlineStr"/>
      <c r="P7" t="inlineStr"/>
      <c r="Q7" s="3" t="n">
        <v>8.690258279011687</v>
      </c>
      <c r="R7" s="2" t="n">
        <v>2127370</v>
      </c>
      <c r="S7" s="3" t="n">
        <v>9.029999999999999</v>
      </c>
      <c r="T7" t="inlineStr"/>
      <c r="U7" s="2" t="n">
        <v>2136551</v>
      </c>
      <c r="V7" s="3" t="n">
        <v>10.21</v>
      </c>
      <c r="W7" s="3" t="n">
        <v>26.22569370419718</v>
      </c>
      <c r="X7" t="inlineStr"/>
    </row>
    <row r="8">
      <c r="A8" t="inlineStr">
        <is>
          <t>2010-07</t>
        </is>
      </c>
      <c r="B8" s="2" t="n">
        <v>27770000</v>
      </c>
      <c r="C8" s="2" t="n">
        <v>1181.699951171875</v>
      </c>
      <c r="D8" s="2" t="n">
        <v>26419989.58461015</v>
      </c>
      <c r="E8" s="2" t="n">
        <v>1350010.415389847</v>
      </c>
      <c r="F8" t="inlineStr"/>
      <c r="G8" s="2" t="n">
        <v>18544</v>
      </c>
      <c r="H8" s="3" t="n">
        <v>493.9</v>
      </c>
      <c r="I8" t="inlineStr"/>
      <c r="J8" s="3" t="n">
        <v>11.19375</v>
      </c>
      <c r="K8" t="inlineStr"/>
      <c r="L8" t="inlineStr"/>
      <c r="M8" t="inlineStr"/>
      <c r="N8" t="inlineStr"/>
      <c r="O8" t="inlineStr"/>
      <c r="P8" t="inlineStr"/>
      <c r="Q8" s="3" t="n">
        <v>8.192869512513855</v>
      </c>
      <c r="R8" s="2" t="n">
        <v>2195254</v>
      </c>
      <c r="S8" s="3" t="n">
        <v>12.5</v>
      </c>
      <c r="T8" t="inlineStr"/>
      <c r="U8" s="2" t="n">
        <v>2184310</v>
      </c>
      <c r="V8" s="3" t="n">
        <v>12.67</v>
      </c>
      <c r="W8" t="inlineStr"/>
      <c r="X8" t="inlineStr"/>
    </row>
    <row r="9">
      <c r="A9" t="inlineStr">
        <is>
          <t>2010-08</t>
        </is>
      </c>
      <c r="B9" s="2" t="n">
        <v>28950000</v>
      </c>
      <c r="C9" s="2" t="n">
        <v>1248.300048828125</v>
      </c>
      <c r="D9" s="2" t="n">
        <v>28492954.80140587</v>
      </c>
      <c r="E9" s="2" t="n">
        <v>457045.1985941343</v>
      </c>
      <c r="F9" t="inlineStr"/>
      <c r="G9" s="2" t="n">
        <v>18932</v>
      </c>
      <c r="H9" s="3" t="n">
        <v>455.1</v>
      </c>
      <c r="I9" t="inlineStr"/>
      <c r="J9" s="3" t="n">
        <v>11.19375</v>
      </c>
      <c r="K9" t="inlineStr"/>
      <c r="L9" t="inlineStr"/>
      <c r="M9" t="inlineStr"/>
      <c r="N9" t="inlineStr"/>
      <c r="O9" t="inlineStr"/>
      <c r="P9" t="inlineStr"/>
      <c r="Q9" s="3" t="n">
        <v>8.182076129681427</v>
      </c>
      <c r="R9" s="2" t="n">
        <v>2260357</v>
      </c>
      <c r="S9" s="3" t="n">
        <v>15.84</v>
      </c>
      <c r="T9" t="inlineStr"/>
      <c r="U9" s="2" t="n">
        <v>2248116</v>
      </c>
      <c r="V9" s="3" t="n">
        <v>15.96</v>
      </c>
      <c r="W9" t="inlineStr"/>
      <c r="X9" t="inlineStr"/>
    </row>
    <row r="10">
      <c r="A10" t="inlineStr">
        <is>
          <t>2010-09</t>
        </is>
      </c>
      <c r="B10" s="2" t="n">
        <v>31250000</v>
      </c>
      <c r="C10" s="2" t="n">
        <v>1307.800048828125</v>
      </c>
      <c r="D10" s="2" t="n">
        <v>29851066.42871469</v>
      </c>
      <c r="E10" s="2" t="n">
        <v>1398933.571285307</v>
      </c>
      <c r="F10" t="inlineStr"/>
      <c r="G10" s="2" t="n">
        <v>18932</v>
      </c>
      <c r="H10" s="3" t="n">
        <v>454.5</v>
      </c>
      <c r="I10" t="inlineStr"/>
      <c r="J10" s="3" t="n">
        <v>11.19375</v>
      </c>
      <c r="K10" t="inlineStr"/>
      <c r="L10" t="inlineStr"/>
      <c r="M10" t="inlineStr"/>
      <c r="N10" t="inlineStr"/>
      <c r="O10" t="inlineStr"/>
      <c r="P10" t="inlineStr"/>
      <c r="Q10" s="3" t="n">
        <v>8.923932942735391</v>
      </c>
      <c r="R10" s="2" t="n">
        <v>2312635</v>
      </c>
      <c r="S10" s="3" t="n">
        <v>18.52</v>
      </c>
      <c r="T10" t="inlineStr"/>
      <c r="U10" s="2" t="n">
        <v>2310569</v>
      </c>
      <c r="V10" s="3" t="n">
        <v>19.19</v>
      </c>
      <c r="W10" s="3" t="n">
        <v>25.3226353211009</v>
      </c>
      <c r="X10" t="inlineStr"/>
    </row>
    <row r="11">
      <c r="A11" t="inlineStr">
        <is>
          <t>2010-10</t>
        </is>
      </c>
      <c r="B11" s="2" t="n">
        <v>33400000</v>
      </c>
      <c r="C11" s="2" t="n">
        <v>1357.099975585938</v>
      </c>
      <c r="D11" s="2" t="n">
        <v>30976357.24813081</v>
      </c>
      <c r="E11" s="2" t="n">
        <v>2423642.75186919</v>
      </c>
      <c r="F11" t="inlineStr"/>
      <c r="G11" s="2" t="n">
        <v>18932</v>
      </c>
      <c r="H11" s="3" t="n">
        <v>452.6</v>
      </c>
      <c r="I11" t="inlineStr"/>
      <c r="J11" s="3" t="n">
        <v>11.19375</v>
      </c>
      <c r="K11" t="inlineStr"/>
      <c r="L11" t="inlineStr"/>
      <c r="M11" t="inlineStr"/>
      <c r="N11" t="inlineStr"/>
      <c r="O11" t="inlineStr"/>
      <c r="P11" t="inlineStr"/>
      <c r="Q11" s="3" t="n">
        <v>9.66188526316043</v>
      </c>
      <c r="R11" s="2" t="n">
        <v>2361219</v>
      </c>
      <c r="S11" s="3" t="n">
        <v>21.01</v>
      </c>
      <c r="T11" t="inlineStr"/>
      <c r="U11" s="2" t="n">
        <v>2374733</v>
      </c>
      <c r="V11" s="3" t="n">
        <v>22.49</v>
      </c>
      <c r="W11" t="inlineStr"/>
      <c r="X11" t="inlineStr"/>
    </row>
    <row r="12">
      <c r="A12" t="inlineStr">
        <is>
          <t>2010-11</t>
        </is>
      </c>
      <c r="B12" s="2" t="n">
        <v>35950000</v>
      </c>
      <c r="C12" s="2" t="n">
        <v>1385</v>
      </c>
      <c r="D12" s="2" t="n">
        <v>31613186.61886926</v>
      </c>
      <c r="E12" s="2" t="n">
        <v>4336813.38113074</v>
      </c>
      <c r="F12" t="inlineStr"/>
      <c r="G12" s="2" t="n">
        <v>18932</v>
      </c>
      <c r="H12" s="3" t="n">
        <v>451.6</v>
      </c>
      <c r="I12" t="inlineStr"/>
      <c r="J12" s="3" t="n">
        <v>11.19375</v>
      </c>
      <c r="K12" t="inlineStr"/>
      <c r="L12" t="inlineStr"/>
      <c r="M12" t="inlineStr"/>
      <c r="N12" t="inlineStr"/>
      <c r="O12" t="inlineStr"/>
      <c r="P12" t="inlineStr"/>
      <c r="Q12" s="3" t="n">
        <v>11.09059803983625</v>
      </c>
      <c r="R12" s="2" t="n">
        <v>2400087</v>
      </c>
      <c r="S12" s="3" t="n">
        <v>23</v>
      </c>
      <c r="T12" t="inlineStr"/>
      <c r="U12" s="2" t="n">
        <v>2407246</v>
      </c>
      <c r="V12" s="3" t="n">
        <v>24.17</v>
      </c>
      <c r="W12" t="inlineStr"/>
      <c r="X12" t="inlineStr"/>
    </row>
    <row r="13">
      <c r="A13" t="inlineStr">
        <is>
          <t>2010-12</t>
        </is>
      </c>
      <c r="B13" s="2" t="n">
        <v>36000000</v>
      </c>
      <c r="C13" s="2" t="n">
        <v>1421.099975585938</v>
      </c>
      <c r="D13" s="2" t="n">
        <v>32437183.20019408</v>
      </c>
      <c r="E13" s="2" t="n">
        <v>3562816.799805917</v>
      </c>
      <c r="F13" t="inlineStr"/>
      <c r="G13" s="2" t="n">
        <v>18932</v>
      </c>
      <c r="H13" s="3" t="n">
        <v>484.7</v>
      </c>
      <c r="I13" t="inlineStr"/>
      <c r="J13" s="3" t="n">
        <v>11.19375</v>
      </c>
      <c r="K13" t="inlineStr"/>
      <c r="L13" t="inlineStr"/>
      <c r="M13" t="inlineStr"/>
      <c r="N13" t="inlineStr"/>
      <c r="O13" t="inlineStr"/>
      <c r="P13" t="inlineStr"/>
      <c r="Q13" s="3" t="n">
        <v>11.74806853523849</v>
      </c>
      <c r="R13" s="2" t="n">
        <v>2438955</v>
      </c>
      <c r="S13" s="3" t="n">
        <v>25</v>
      </c>
      <c r="T13" t="inlineStr"/>
      <c r="U13" s="2" t="n">
        <v>2511463</v>
      </c>
      <c r="V13" s="3" t="n">
        <v>29.55</v>
      </c>
      <c r="W13" s="3" t="n">
        <v>29.55000000000001</v>
      </c>
      <c r="X13" t="inlineStr"/>
    </row>
    <row r="14">
      <c r="A14" t="inlineStr">
        <is>
          <t>2011-01</t>
        </is>
      </c>
      <c r="B14" s="2" t="n">
        <v>35540000</v>
      </c>
      <c r="C14" s="2" t="n">
        <v>1333.800048828125</v>
      </c>
      <c r="D14" s="2" t="n">
        <v>30444526.97174039</v>
      </c>
      <c r="E14" s="2" t="n">
        <v>5095473.028259605</v>
      </c>
      <c r="F14" t="inlineStr"/>
      <c r="G14" t="inlineStr"/>
      <c r="H14" s="3" t="n">
        <v>510.6</v>
      </c>
      <c r="I14" t="inlineStr"/>
      <c r="J14" s="3" t="n">
        <v>13.9935</v>
      </c>
      <c r="K14" s="3" t="n">
        <v>34.51930355791066</v>
      </c>
      <c r="L14" s="3" t="n">
        <v>29.96072395711986</v>
      </c>
      <c r="M14" t="inlineStr"/>
      <c r="N14" t="inlineStr"/>
      <c r="O14" s="3" t="n">
        <v>5.933609958506225</v>
      </c>
      <c r="P14" s="3" t="n">
        <v>11.19375</v>
      </c>
      <c r="Q14" s="3" t="n">
        <v>12.16701354355934</v>
      </c>
      <c r="R14" s="2" t="n">
        <v>2460990</v>
      </c>
      <c r="S14" s="3" t="n">
        <v>0.9</v>
      </c>
      <c r="T14" s="3" t="n">
        <v>26.12932587932126</v>
      </c>
      <c r="U14" s="2" t="n">
        <v>2542405</v>
      </c>
      <c r="V14" s="3" t="n">
        <v>1.23</v>
      </c>
      <c r="W14" s="3" t="n">
        <v>30.80337622182327</v>
      </c>
      <c r="X14" t="inlineStr"/>
    </row>
    <row r="15">
      <c r="A15" t="inlineStr">
        <is>
          <t>2011-02</t>
        </is>
      </c>
      <c r="B15" s="2" t="n">
        <v>37590000</v>
      </c>
      <c r="C15" s="2" t="n">
        <v>1409.300048828125</v>
      </c>
      <c r="D15" s="2" t="n">
        <v>32167845.08706504</v>
      </c>
      <c r="E15" s="2" t="n">
        <v>5422154.912934963</v>
      </c>
      <c r="F15" t="inlineStr"/>
      <c r="G15" t="inlineStr"/>
      <c r="H15" s="3" t="n">
        <v>461.4</v>
      </c>
      <c r="I15" t="inlineStr"/>
      <c r="J15" s="3" t="n">
        <v>13.9935</v>
      </c>
      <c r="K15" s="3" t="n">
        <v>41.31578947368422</v>
      </c>
      <c r="L15" s="3" t="n">
        <v>28.65841602495294</v>
      </c>
      <c r="M15" t="inlineStr"/>
      <c r="N15" t="inlineStr"/>
      <c r="O15" s="3" t="n">
        <v>-7.144294626685454</v>
      </c>
      <c r="P15" s="3" t="n">
        <v>11.19375</v>
      </c>
      <c r="Q15" s="3" t="n">
        <v>12.31002758593545</v>
      </c>
      <c r="R15" s="2" t="n">
        <v>2506026</v>
      </c>
      <c r="S15" s="3" t="n">
        <v>2.75</v>
      </c>
      <c r="T15" s="3" t="n">
        <v>27.18335935168625</v>
      </c>
      <c r="U15" s="2" t="n">
        <v>2579524</v>
      </c>
      <c r="V15" s="3" t="n">
        <v>2.71</v>
      </c>
      <c r="W15" s="3" t="n">
        <v>31.57401858993374</v>
      </c>
      <c r="X15" t="inlineStr"/>
    </row>
    <row r="16">
      <c r="A16" t="inlineStr">
        <is>
          <t>2011-03</t>
        </is>
      </c>
      <c r="B16" s="2" t="n">
        <v>36930000</v>
      </c>
      <c r="C16" s="2" t="n">
        <v>1438.900024414062</v>
      </c>
      <c r="D16" s="2" t="n">
        <v>35915830.05784436</v>
      </c>
      <c r="E16" s="2" t="n">
        <v>1014169.942155637</v>
      </c>
      <c r="F16" t="inlineStr"/>
      <c r="G16" s="2" t="n">
        <v>20703</v>
      </c>
      <c r="H16" s="3" t="n">
        <v>461.1</v>
      </c>
      <c r="I16" t="inlineStr"/>
      <c r="J16" s="3" t="n">
        <v>13.9935</v>
      </c>
      <c r="K16" s="3" t="n">
        <v>41.33180252583237</v>
      </c>
      <c r="L16" s="3" t="n">
        <v>44.29399422340195</v>
      </c>
      <c r="M16" t="inlineStr"/>
      <c r="N16" s="3" t="n">
        <v>11.6425798101812</v>
      </c>
      <c r="O16" s="3" t="n">
        <v>-7.632211538461531</v>
      </c>
      <c r="P16" s="3" t="n">
        <v>11.19375</v>
      </c>
      <c r="Q16" s="3" t="n">
        <v>13.8929579995537</v>
      </c>
      <c r="R16" s="2" t="n">
        <v>2547125</v>
      </c>
      <c r="S16" s="3" t="n">
        <v>4.44</v>
      </c>
      <c r="T16" s="3" t="n">
        <v>29.13750821962744</v>
      </c>
      <c r="U16" s="2" t="n">
        <v>2637036</v>
      </c>
      <c r="V16" s="3" t="n">
        <v>5</v>
      </c>
      <c r="W16" s="3" t="n">
        <v>31.97584166100711</v>
      </c>
      <c r="X16" s="3" t="n">
        <v>5.896601141560009</v>
      </c>
    </row>
    <row r="17">
      <c r="A17" t="inlineStr">
        <is>
          <t>2011-04</t>
        </is>
      </c>
      <c r="B17" s="2" t="n">
        <v>37790000</v>
      </c>
      <c r="C17" s="2" t="n">
        <v>1556</v>
      </c>
      <c r="D17" s="2" t="n">
        <v>38829337.53436109</v>
      </c>
      <c r="E17" s="2" t="n">
        <v>-1039337.534361087</v>
      </c>
      <c r="F17" t="inlineStr"/>
      <c r="G17" s="2" t="n">
        <v>20698</v>
      </c>
      <c r="H17" s="3" t="n">
        <v>480.1</v>
      </c>
      <c r="I17" t="inlineStr"/>
      <c r="J17" s="3" t="n">
        <v>13.9935</v>
      </c>
      <c r="K17" s="3" t="n">
        <v>42.2816265060241</v>
      </c>
      <c r="L17" s="3" t="n">
        <v>47.16880222583424</v>
      </c>
      <c r="M17" t="inlineStr"/>
      <c r="N17" s="3" t="n">
        <v>11.61561691113029</v>
      </c>
      <c r="O17" s="3" t="n">
        <v>-11.48598820058996</v>
      </c>
      <c r="P17" s="3" t="n">
        <v>11.19375</v>
      </c>
      <c r="Q17" s="3" t="n">
        <v>17.50969063824539</v>
      </c>
      <c r="R17" s="2" t="n">
        <v>2487246</v>
      </c>
      <c r="S17" s="3" t="n">
        <v>1.98</v>
      </c>
      <c r="T17" s="3" t="n">
        <v>22.52395064452948</v>
      </c>
      <c r="U17" s="2" t="n">
        <v>2638041</v>
      </c>
      <c r="V17" s="3" t="n">
        <v>5.04</v>
      </c>
      <c r="W17" s="3" t="n">
        <v>29.23012345679012</v>
      </c>
      <c r="X17" t="inlineStr"/>
    </row>
    <row r="18">
      <c r="A18" t="inlineStr">
        <is>
          <t>2011-05</t>
        </is>
      </c>
      <c r="B18" s="2" t="n">
        <v>37870000</v>
      </c>
      <c r="C18" s="2" t="n">
        <v>1535.900024414062</v>
      </c>
      <c r="D18" s="2" t="n">
        <v>38225904.08311703</v>
      </c>
      <c r="E18" s="2" t="n">
        <v>-355904.0831170306</v>
      </c>
      <c r="F18" t="inlineStr"/>
      <c r="G18" s="2" t="n">
        <v>20643</v>
      </c>
      <c r="H18" s="3" t="n">
        <v>421.4</v>
      </c>
      <c r="I18" t="inlineStr"/>
      <c r="J18" s="3" t="n">
        <v>13.9935</v>
      </c>
      <c r="K18" s="3" t="n">
        <v>36.61616161616161</v>
      </c>
      <c r="L18" s="3" t="n">
        <v>41.04512467855832</v>
      </c>
      <c r="M18" t="inlineStr"/>
      <c r="N18" s="3" t="n">
        <v>11.31902502157032</v>
      </c>
      <c r="O18" s="3" t="n">
        <v>-16.94915254237288</v>
      </c>
      <c r="P18" s="3" t="n">
        <v>11.19375</v>
      </c>
      <c r="Q18" s="3" t="n">
        <v>19.78324005320686</v>
      </c>
      <c r="R18" s="2" t="n">
        <v>2489685</v>
      </c>
      <c r="S18" s="3" t="n">
        <v>2.08</v>
      </c>
      <c r="T18" s="3" t="n">
        <v>19.72287140425286</v>
      </c>
      <c r="U18" s="2" t="n">
        <v>2685256</v>
      </c>
      <c r="V18" s="3" t="n">
        <v>6.92</v>
      </c>
      <c r="W18" s="3" t="n">
        <v>29.13934365094164</v>
      </c>
      <c r="X18" t="inlineStr"/>
    </row>
    <row r="19">
      <c r="A19" t="inlineStr">
        <is>
          <t>2011-06</t>
        </is>
      </c>
      <c r="B19" s="2" t="n">
        <v>37810000</v>
      </c>
      <c r="C19" s="2" t="n">
        <v>1502.300048828125</v>
      </c>
      <c r="D19" s="2" t="n">
        <v>37344377.32900431</v>
      </c>
      <c r="E19" s="2" t="n">
        <v>465622.6709956899</v>
      </c>
      <c r="F19" t="inlineStr"/>
      <c r="G19" s="2" t="n">
        <v>20618</v>
      </c>
      <c r="H19" s="3" t="n">
        <v>432.5</v>
      </c>
      <c r="I19" t="inlineStr"/>
      <c r="J19" s="3" t="n">
        <v>13.9935</v>
      </c>
      <c r="K19" s="3" t="n">
        <v>32.20279720279719</v>
      </c>
      <c r="L19" s="3" t="n">
        <v>34.10842625660435</v>
      </c>
      <c r="M19" t="inlineStr"/>
      <c r="N19" s="3" t="n">
        <v>11.1842105263158</v>
      </c>
      <c r="O19" s="3" t="n">
        <v>-14.71110234667719</v>
      </c>
      <c r="P19" s="3" t="n">
        <v>11.19375</v>
      </c>
      <c r="Q19" s="3" t="n">
        <v>20.82306662321569</v>
      </c>
      <c r="R19" t="inlineStr"/>
      <c r="S19" t="inlineStr"/>
      <c r="T19" t="inlineStr"/>
      <c r="U19" t="inlineStr"/>
      <c r="V19" t="inlineStr"/>
      <c r="W19" t="inlineStr"/>
      <c r="X19" s="3" t="n">
        <v>5.933550305389135</v>
      </c>
    </row>
    <row r="20">
      <c r="A20" t="inlineStr">
        <is>
          <t>2011-07</t>
        </is>
      </c>
      <c r="B20" s="2" t="n">
        <v>40160000</v>
      </c>
      <c r="C20" s="2" t="n">
        <v>1628.300048828125</v>
      </c>
      <c r="D20" s="2" t="n">
        <v>40456870.69732908</v>
      </c>
      <c r="E20" s="2" t="n">
        <v>-296870.6973290816</v>
      </c>
      <c r="F20" t="inlineStr"/>
      <c r="G20" s="2" t="n">
        <v>20608</v>
      </c>
      <c r="H20" s="3" t="n">
        <v>405.7</v>
      </c>
      <c r="I20" t="inlineStr"/>
      <c r="J20" s="3" t="n">
        <v>13.9935</v>
      </c>
      <c r="K20" s="3" t="n">
        <v>44.61649261793301</v>
      </c>
      <c r="L20" s="3" t="n">
        <v>53.12977534592034</v>
      </c>
      <c r="M20" t="inlineStr"/>
      <c r="N20" s="3" t="n">
        <v>11.13028472821398</v>
      </c>
      <c r="O20" s="3" t="n">
        <v>-17.85786596477019</v>
      </c>
      <c r="P20" s="3" t="n">
        <v>11.19375</v>
      </c>
      <c r="Q20" s="3" t="n">
        <v>22.1633984636292</v>
      </c>
      <c r="R20" s="2" t="n">
        <v>2526026</v>
      </c>
      <c r="S20" s="3" t="n">
        <v>3.57</v>
      </c>
      <c r="T20" s="3" t="n">
        <v>15.06759582262463</v>
      </c>
      <c r="U20" s="2" t="n">
        <v>2701581</v>
      </c>
      <c r="V20" s="3" t="n">
        <v>7.57</v>
      </c>
      <c r="W20" s="3" t="n">
        <v>23.68592793112632</v>
      </c>
      <c r="X20" t="inlineStr"/>
    </row>
    <row r="21">
      <c r="A21" t="inlineStr">
        <is>
          <t>2011-08</t>
        </is>
      </c>
      <c r="B21" s="2" t="n">
        <v>46930000</v>
      </c>
      <c r="C21" s="2" t="n">
        <v>1828.5</v>
      </c>
      <c r="D21" s="2" t="n">
        <v>45475145.08013568</v>
      </c>
      <c r="E21" s="2" t="n">
        <v>1454854.919864319</v>
      </c>
      <c r="F21" t="inlineStr"/>
      <c r="G21" s="2" t="n">
        <v>20628</v>
      </c>
      <c r="H21" s="3" t="n">
        <v>425.43</v>
      </c>
      <c r="I21" t="inlineStr"/>
      <c r="J21" s="3" t="n">
        <v>13.9935</v>
      </c>
      <c r="K21" s="3" t="n">
        <v>62.10708117443868</v>
      </c>
      <c r="L21" s="3" t="n">
        <v>59.60136601168475</v>
      </c>
      <c r="M21" t="inlineStr"/>
      <c r="N21" s="3" t="n">
        <v>8.958377350517633</v>
      </c>
      <c r="O21" s="3" t="n">
        <v>-6.519446275543839</v>
      </c>
      <c r="P21" s="3" t="n">
        <v>11.19375</v>
      </c>
      <c r="Q21" s="3" t="n">
        <v>23.01657993548938</v>
      </c>
      <c r="R21" s="2" t="n">
        <v>2629925</v>
      </c>
      <c r="S21" s="3" t="n">
        <v>7.83</v>
      </c>
      <c r="T21" s="3" t="n">
        <v>16.34998365302472</v>
      </c>
      <c r="U21" s="2" t="n">
        <v>2716147</v>
      </c>
      <c r="V21" s="3" t="n">
        <v>8.15</v>
      </c>
      <c r="W21" s="3" t="n">
        <v>20.82470248361503</v>
      </c>
      <c r="X21" t="inlineStr"/>
    </row>
    <row r="22">
      <c r="A22" t="inlineStr">
        <is>
          <t>2011-09</t>
        </is>
      </c>
      <c r="B22" s="2" t="n">
        <v>44200000</v>
      </c>
      <c r="C22" s="2" t="n">
        <v>1620.400024414062</v>
      </c>
      <c r="D22" s="2" t="n">
        <v>40299658.8450013</v>
      </c>
      <c r="E22" s="2" t="n">
        <v>3900341.154998705</v>
      </c>
      <c r="F22" t="inlineStr"/>
      <c r="G22" s="2" t="n">
        <v>20628</v>
      </c>
      <c r="H22" s="3" t="n">
        <v>427.6</v>
      </c>
      <c r="I22" t="inlineStr"/>
      <c r="J22" s="3" t="n">
        <v>13.9935</v>
      </c>
      <c r="K22" s="3" t="n">
        <v>41.44000000000001</v>
      </c>
      <c r="L22" s="3" t="n">
        <v>35.0024091810528</v>
      </c>
      <c r="M22" t="inlineStr"/>
      <c r="N22" s="3" t="n">
        <v>8.958377350517633</v>
      </c>
      <c r="O22" s="3" t="n">
        <v>-5.918591859185918</v>
      </c>
      <c r="P22" s="3" t="n">
        <v>11.19375</v>
      </c>
      <c r="Q22" s="3" t="n">
        <v>22.42159302236728</v>
      </c>
      <c r="R22" s="2" t="n">
        <v>2655290</v>
      </c>
      <c r="S22" s="3" t="n">
        <v>8.869999999999999</v>
      </c>
      <c r="T22" s="3" t="n">
        <v>14.81664854159865</v>
      </c>
      <c r="U22" s="2" t="n">
        <v>2716398</v>
      </c>
      <c r="V22" s="3" t="n">
        <v>8.16</v>
      </c>
      <c r="W22" s="3" t="n">
        <v>17.56127191878514</v>
      </c>
      <c r="X22" s="3" t="n">
        <v>6.211869919892998</v>
      </c>
    </row>
    <row r="23">
      <c r="A23" t="inlineStr">
        <is>
          <t>2011-10</t>
        </is>
      </c>
      <c r="B23" s="2" t="n">
        <v>44850000</v>
      </c>
      <c r="C23" s="2" t="n">
        <v>1724.199951171875</v>
      </c>
      <c r="D23" s="2" t="n">
        <v>43244970.32194349</v>
      </c>
      <c r="E23" s="2" t="n">
        <v>1605029.678056508</v>
      </c>
      <c r="F23" t="inlineStr"/>
      <c r="G23" s="2" t="n">
        <v>20803</v>
      </c>
      <c r="H23" s="3" t="n">
        <v>420.81</v>
      </c>
      <c r="I23" t="inlineStr"/>
      <c r="J23" s="3" t="n">
        <v>13.9935</v>
      </c>
      <c r="K23" s="3" t="n">
        <v>34.2814371257485</v>
      </c>
      <c r="L23" s="3" t="n">
        <v>39.60637777882356</v>
      </c>
      <c r="M23" t="inlineStr"/>
      <c r="N23" s="3" t="n">
        <v>9.882738221001475</v>
      </c>
      <c r="O23" s="3" t="n">
        <v>-7.023862129916047</v>
      </c>
      <c r="P23" s="3" t="n">
        <v>11.19375</v>
      </c>
      <c r="Q23" s="3" t="n">
        <v>21.58566131345652</v>
      </c>
      <c r="R23" s="2" t="n">
        <v>2621877</v>
      </c>
      <c r="S23" s="3" t="n">
        <v>7.5</v>
      </c>
      <c r="T23" s="3" t="n">
        <v>11.03912851793925</v>
      </c>
      <c r="U23" s="2" t="n">
        <v>2727700</v>
      </c>
      <c r="V23" s="3" t="n">
        <v>8.609999999999999</v>
      </c>
      <c r="W23" s="3" t="n">
        <v>14.86999346885463</v>
      </c>
      <c r="X23" t="inlineStr"/>
    </row>
    <row r="24">
      <c r="A24" t="inlineStr">
        <is>
          <t>2011-11</t>
        </is>
      </c>
      <c r="B24" s="2" t="n">
        <v>44750000</v>
      </c>
      <c r="C24" s="2" t="n">
        <v>1745.5</v>
      </c>
      <c r="D24" s="2" t="n">
        <v>43779200.69284807</v>
      </c>
      <c r="E24" s="2" t="n">
        <v>970799.3071519285</v>
      </c>
      <c r="F24" t="inlineStr"/>
      <c r="G24" s="2" t="n">
        <v>20803</v>
      </c>
      <c r="H24" s="3" t="n">
        <v>380.69</v>
      </c>
      <c r="I24" t="inlineStr"/>
      <c r="J24" s="3" t="n">
        <v>13.9935</v>
      </c>
      <c r="K24" s="3" t="n">
        <v>24.47844228094576</v>
      </c>
      <c r="L24" s="3" t="n">
        <v>38.48398524531269</v>
      </c>
      <c r="M24" t="inlineStr"/>
      <c r="N24" s="3" t="n">
        <v>9.882738221001475</v>
      </c>
      <c r="O24" s="3" t="n">
        <v>-15.70194862710363</v>
      </c>
      <c r="P24" s="3" t="n">
        <v>11.19375</v>
      </c>
      <c r="Q24" s="3" t="n">
        <v>19.83098899723035</v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2011-12</t>
        </is>
      </c>
      <c r="B25" s="2" t="n">
        <v>41800000</v>
      </c>
      <c r="C25" s="2" t="n">
        <v>1565.800048828125</v>
      </c>
      <c r="D25" s="2" t="n">
        <v>39319309.02108146</v>
      </c>
      <c r="E25" s="2" t="n">
        <v>2480690.978918545</v>
      </c>
      <c r="F25" t="inlineStr"/>
      <c r="G25" s="2" t="n">
        <v>20828</v>
      </c>
      <c r="H25" s="3" t="n">
        <v>351.55</v>
      </c>
      <c r="I25" t="inlineStr"/>
      <c r="J25" s="3" t="n">
        <v>13.9935</v>
      </c>
      <c r="K25" s="3" t="n">
        <v>16.11111111111112</v>
      </c>
      <c r="L25" s="3" t="n">
        <v>21.21678007123071</v>
      </c>
      <c r="M25" t="inlineStr"/>
      <c r="N25" s="3" t="n">
        <v>10.01478977392773</v>
      </c>
      <c r="O25" s="3" t="n">
        <v>-27.47060037136373</v>
      </c>
      <c r="P25" s="3" t="n">
        <v>11.19375</v>
      </c>
      <c r="Q25" s="3" t="n">
        <v>18.12717517053923</v>
      </c>
      <c r="R25" s="2" t="n">
        <v>2665046</v>
      </c>
      <c r="S25" s="3" t="n">
        <v>9.27</v>
      </c>
      <c r="T25" s="3" t="n">
        <v>9.269994731350106</v>
      </c>
      <c r="U25" s="2" t="n">
        <v>2785213</v>
      </c>
      <c r="V25" s="3" t="n">
        <v>10.9</v>
      </c>
      <c r="W25" s="3" t="n">
        <v>10.9</v>
      </c>
      <c r="X25" s="3" t="n">
        <v>6.713868923083144</v>
      </c>
    </row>
    <row r="26">
      <c r="A26" t="inlineStr">
        <is>
          <t>2012-01</t>
        </is>
      </c>
      <c r="B26" s="2" t="n">
        <v>45330000</v>
      </c>
      <c r="C26" s="2" t="n">
        <v>1737.800048828125</v>
      </c>
      <c r="D26" s="2" t="n">
        <v>43638456.38391843</v>
      </c>
      <c r="E26" s="2" t="n">
        <v>1691543.616081566</v>
      </c>
      <c r="F26" t="inlineStr"/>
      <c r="G26" s="2" t="n">
        <v>20828</v>
      </c>
      <c r="H26" s="3" t="n">
        <v>387.97</v>
      </c>
      <c r="I26" t="inlineStr"/>
      <c r="J26" s="3" t="n">
        <v>10.5036666666667</v>
      </c>
      <c r="K26" s="3" t="n">
        <v>27.54642656162072</v>
      </c>
      <c r="L26" s="3" t="n">
        <v>43.33760686912651</v>
      </c>
      <c r="M26" t="inlineStr"/>
      <c r="N26" t="inlineStr"/>
      <c r="O26" s="3" t="n">
        <v>-24.0168429298864</v>
      </c>
      <c r="P26" s="3" t="n">
        <v>13.9935</v>
      </c>
      <c r="Q26" s="3" t="n">
        <v>17.26798400063352</v>
      </c>
      <c r="R26" s="2" t="n">
        <v>2684768</v>
      </c>
      <c r="S26" s="3" t="n">
        <v>0.74</v>
      </c>
      <c r="T26" s="3" t="n">
        <v>9.09300728568585</v>
      </c>
      <c r="U26" s="2" t="n">
        <v>2807216</v>
      </c>
      <c r="V26" s="3" t="n">
        <v>0.79</v>
      </c>
      <c r="W26" s="3" t="n">
        <v>10.41796898152723</v>
      </c>
      <c r="X26" t="inlineStr"/>
    </row>
    <row r="27">
      <c r="A27" t="inlineStr">
        <is>
          <t>2012-02</t>
        </is>
      </c>
      <c r="B27" s="2" t="n">
        <v>45270000</v>
      </c>
      <c r="C27" s="2" t="n">
        <v>1709.900024414062</v>
      </c>
      <c r="D27" s="2" t="n">
        <v>42937849.89048188</v>
      </c>
      <c r="E27" s="2" t="n">
        <v>2332150.109518118</v>
      </c>
      <c r="F27" t="inlineStr"/>
      <c r="G27" s="2" t="n">
        <v>20828</v>
      </c>
      <c r="H27" s="3" t="n">
        <v>423.64</v>
      </c>
      <c r="I27" t="inlineStr"/>
      <c r="J27" s="3" t="n">
        <v>10.5036666666667</v>
      </c>
      <c r="K27" s="3" t="n">
        <v>20.43096568236233</v>
      </c>
      <c r="L27" s="3" t="n">
        <v>33.48065365978634</v>
      </c>
      <c r="M27" t="inlineStr"/>
      <c r="N27" t="inlineStr"/>
      <c r="O27" s="3" t="n">
        <v>-8.183788469874298</v>
      </c>
      <c r="P27" s="3" t="n">
        <v>13.9935</v>
      </c>
      <c r="Q27" s="3" t="n">
        <v>16.44093974085814</v>
      </c>
      <c r="R27" s="2" t="n">
        <v>2667978</v>
      </c>
      <c r="S27" s="3" t="n">
        <v>0.11</v>
      </c>
      <c r="T27" s="3" t="n">
        <v>6.462502783291146</v>
      </c>
      <c r="U27" s="2" t="n">
        <v>2855121</v>
      </c>
      <c r="V27" s="3" t="n">
        <v>2.51</v>
      </c>
      <c r="W27" s="3" t="n">
        <v>10.68405218576576</v>
      </c>
      <c r="X27" t="inlineStr"/>
    </row>
    <row r="28">
      <c r="A28" t="inlineStr">
        <is>
          <t>2012-03</t>
        </is>
      </c>
      <c r="B28" s="2" t="n">
        <v>44000000</v>
      </c>
      <c r="C28" s="2" t="n">
        <v>1669.300048828125</v>
      </c>
      <c r="D28" s="2" t="n">
        <v>41918330.83534674</v>
      </c>
      <c r="E28" s="2" t="n">
        <v>2081669.164653264</v>
      </c>
      <c r="F28" t="inlineStr"/>
      <c r="G28" s="2" t="n">
        <v>20828</v>
      </c>
      <c r="H28" s="3" t="n">
        <v>441.03</v>
      </c>
      <c r="I28" t="inlineStr"/>
      <c r="J28" s="3" t="n">
        <v>10.5036666666667</v>
      </c>
      <c r="K28" s="3" t="n">
        <v>19.14432710533443</v>
      </c>
      <c r="L28" s="3" t="n">
        <v>16.71268843803699</v>
      </c>
      <c r="M28" t="inlineStr"/>
      <c r="N28" s="3" t="n">
        <v>0.6037772303530975</v>
      </c>
      <c r="O28" s="3" t="n">
        <v>-4.352635003253102</v>
      </c>
      <c r="P28" s="3" t="n">
        <v>13.9935</v>
      </c>
      <c r="Q28" s="3" t="n">
        <v>14.15018620382062</v>
      </c>
      <c r="R28" s="2" t="n">
        <v>3166352</v>
      </c>
      <c r="S28" s="3" t="n">
        <v>18.81</v>
      </c>
      <c r="T28" s="3" t="n">
        <v>24.31082102370319</v>
      </c>
      <c r="U28" s="2" t="n">
        <v>2813333</v>
      </c>
      <c r="V28" s="3" t="n">
        <v>1.01</v>
      </c>
      <c r="W28" s="3" t="n">
        <v>6.685799999999986</v>
      </c>
      <c r="X28" s="3" t="n">
        <v>4.745035679993181</v>
      </c>
    </row>
    <row r="29">
      <c r="A29" t="inlineStr">
        <is>
          <t>2012-04</t>
        </is>
      </c>
      <c r="B29" s="2" t="n">
        <v>43000000</v>
      </c>
      <c r="C29" s="2" t="n">
        <v>1663.400024414062</v>
      </c>
      <c r="D29" s="2" t="n">
        <v>41770173.42320328</v>
      </c>
      <c r="E29" s="2" t="n">
        <v>1229826.576796718</v>
      </c>
      <c r="F29" t="inlineStr"/>
      <c r="G29" s="2" t="n">
        <v>20828</v>
      </c>
      <c r="H29" s="3" t="n">
        <v>473.77</v>
      </c>
      <c r="I29" t="inlineStr"/>
      <c r="J29" s="3" t="n">
        <v>10.5036666666667</v>
      </c>
      <c r="K29" s="3" t="n">
        <v>13.78671606245039</v>
      </c>
      <c r="L29" s="3" t="n">
        <v>7.573747263238206</v>
      </c>
      <c r="M29" t="inlineStr"/>
      <c r="N29" s="3" t="n">
        <v>0.6280800077302251</v>
      </c>
      <c r="O29" s="3" t="n">
        <v>-1.318475317642165</v>
      </c>
      <c r="P29" s="3" t="n">
        <v>13.9935</v>
      </c>
      <c r="Q29" s="3" t="n">
        <v>10.53741898656848</v>
      </c>
      <c r="R29" s="2" t="n">
        <v>3184846</v>
      </c>
      <c r="S29" s="3" t="n">
        <v>19.5</v>
      </c>
      <c r="T29" s="3" t="n">
        <v>28.04708500888131</v>
      </c>
      <c r="U29" s="2" t="n">
        <v>2833918</v>
      </c>
      <c r="V29" s="3" t="n">
        <v>1.75</v>
      </c>
      <c r="W29" s="3" t="n">
        <v>7.426456587966479</v>
      </c>
      <c r="X29" t="inlineStr"/>
    </row>
    <row r="30">
      <c r="A30" t="inlineStr">
        <is>
          <t>2012-05</t>
        </is>
      </c>
      <c r="B30" s="2" t="n">
        <v>41460000</v>
      </c>
      <c r="C30" s="2" t="n">
        <v>1562.599975585938</v>
      </c>
      <c r="D30" s="2" t="n">
        <v>39238950.95186706</v>
      </c>
      <c r="E30" s="2" t="n">
        <v>2221049.048132941</v>
      </c>
      <c r="F30" t="inlineStr"/>
      <c r="G30" s="2" t="n">
        <v>20828</v>
      </c>
      <c r="H30" s="3" t="n">
        <v>429.2</v>
      </c>
      <c r="I30" t="inlineStr"/>
      <c r="J30" s="3" t="n">
        <v>10.5036666666667</v>
      </c>
      <c r="K30" s="3" t="n">
        <v>9.479799313440719</v>
      </c>
      <c r="L30" s="3" t="n">
        <v>2.650158035627603</v>
      </c>
      <c r="M30" t="inlineStr"/>
      <c r="N30" s="3" t="n">
        <v>0.8961875696361865</v>
      </c>
      <c r="O30" s="3" t="n">
        <v>1.850972947318463</v>
      </c>
      <c r="P30" s="3" t="n">
        <v>13.9935</v>
      </c>
      <c r="Q30" s="3" t="n">
        <v>8.342027532281016</v>
      </c>
      <c r="R30" s="2" t="n">
        <v>3247187</v>
      </c>
      <c r="S30" s="3" t="n">
        <v>21.84</v>
      </c>
      <c r="T30" s="3" t="n">
        <v>30.42561609199556</v>
      </c>
      <c r="U30" s="2" t="n">
        <v>2855444</v>
      </c>
      <c r="V30" s="3" t="n">
        <v>2.52</v>
      </c>
      <c r="W30" s="3" t="n">
        <v>6.336213991769535</v>
      </c>
      <c r="X30" t="inlineStr"/>
    </row>
    <row r="31">
      <c r="A31" t="inlineStr">
        <is>
          <t>2012-06</t>
        </is>
      </c>
      <c r="B31" s="2" t="n">
        <v>41930000</v>
      </c>
      <c r="C31" s="2" t="n">
        <v>1603.5</v>
      </c>
      <c r="D31" s="2" t="n">
        <v>40266004.62970406</v>
      </c>
      <c r="E31" s="2" t="n">
        <v>1663995.370295942</v>
      </c>
      <c r="F31" t="inlineStr"/>
      <c r="G31" s="2" t="n">
        <v>20828</v>
      </c>
      <c r="H31" s="3" t="n">
        <v>422.37</v>
      </c>
      <c r="I31" t="inlineStr"/>
      <c r="J31" s="3" t="n">
        <v>10.5036666666667</v>
      </c>
      <c r="K31" s="3" t="n">
        <v>10.89658820417878</v>
      </c>
      <c r="L31" s="3" t="n">
        <v>7.823473062518049</v>
      </c>
      <c r="M31" t="inlineStr"/>
      <c r="N31" s="3" t="n">
        <v>1.018527500242516</v>
      </c>
      <c r="O31" s="3" t="n">
        <v>-2.342196531791907</v>
      </c>
      <c r="P31" s="3" t="n">
        <v>13.9935</v>
      </c>
      <c r="Q31" s="3" t="n">
        <v>6.895180790085109</v>
      </c>
      <c r="R31" s="2" t="n">
        <v>3306645</v>
      </c>
      <c r="S31" s="3" t="n">
        <v>24.07</v>
      </c>
      <c r="T31" t="inlineStr"/>
      <c r="U31" s="2" t="n">
        <v>2887697</v>
      </c>
      <c r="V31" s="3" t="n">
        <v>3.68</v>
      </c>
      <c r="W31" t="inlineStr"/>
      <c r="X31" s="3" t="n">
        <v>5.078903478463248</v>
      </c>
    </row>
    <row r="32">
      <c r="A32" t="inlineStr">
        <is>
          <t>2012-07</t>
        </is>
      </c>
      <c r="B32" s="2" t="n">
        <v>42090000</v>
      </c>
      <c r="C32" s="2" t="n">
        <v>1610.5</v>
      </c>
      <c r="D32" s="2" t="n">
        <v>40441783.88284277</v>
      </c>
      <c r="E32" s="2" t="n">
        <v>1648216.117157228</v>
      </c>
      <c r="F32" t="inlineStr"/>
      <c r="G32" s="2" t="n">
        <v>20828</v>
      </c>
      <c r="H32" s="3" t="n">
        <v>414.48</v>
      </c>
      <c r="I32" t="inlineStr"/>
      <c r="J32" s="3" t="n">
        <v>10.5036666666667</v>
      </c>
      <c r="K32" s="3" t="n">
        <v>4.805776892430269</v>
      </c>
      <c r="L32" s="3" t="n">
        <v>-0.03729110587711304</v>
      </c>
      <c r="M32" t="inlineStr"/>
      <c r="N32" s="3" t="n">
        <v>1.067546583850931</v>
      </c>
      <c r="O32" s="3" t="n">
        <v>2.164160709884166</v>
      </c>
      <c r="P32" s="3" t="n">
        <v>13.9935</v>
      </c>
      <c r="Q32" s="3" t="n">
        <v>5.352559815947244</v>
      </c>
      <c r="R32" s="2" t="n">
        <v>3338824</v>
      </c>
      <c r="S32" s="3" t="n">
        <v>25.28</v>
      </c>
      <c r="T32" s="3" t="n">
        <v>32.17694513041434</v>
      </c>
      <c r="U32" s="2" t="n">
        <v>2880061</v>
      </c>
      <c r="V32" s="3" t="n">
        <v>3.41</v>
      </c>
      <c r="W32" s="3" t="n">
        <v>6.611220600539158</v>
      </c>
      <c r="X32" t="inlineStr"/>
    </row>
    <row r="33">
      <c r="A33" t="inlineStr">
        <is>
          <t>2012-08</t>
        </is>
      </c>
      <c r="B33" s="2" t="n">
        <v>44520000</v>
      </c>
      <c r="C33" s="2" t="n">
        <v>1684.599975585938</v>
      </c>
      <c r="D33" s="2" t="n">
        <v>42302532.22085607</v>
      </c>
      <c r="E33" s="2" t="n">
        <v>2217467.779143929</v>
      </c>
      <c r="F33" t="inlineStr"/>
      <c r="G33" s="2" t="n">
        <v>20828</v>
      </c>
      <c r="H33" s="3" t="n">
        <v>396.02</v>
      </c>
      <c r="I33" t="inlineStr"/>
      <c r="J33" s="3" t="n">
        <v>10.5036666666667</v>
      </c>
      <c r="K33" s="3" t="n">
        <v>-5.135307905391007</v>
      </c>
      <c r="L33" s="3" t="n">
        <v>-6.976586558852915</v>
      </c>
      <c r="M33" t="inlineStr"/>
      <c r="N33" s="3" t="n">
        <v>0.9695559433779311</v>
      </c>
      <c r="O33" s="3" t="n">
        <v>-6.913005664856742</v>
      </c>
      <c r="P33" s="3" t="n">
        <v>13.9935</v>
      </c>
      <c r="Q33" s="3" t="n">
        <v>5.039414388970176</v>
      </c>
      <c r="R33" s="2" t="n">
        <v>3371651</v>
      </c>
      <c r="S33" s="3" t="n">
        <v>26.51</v>
      </c>
      <c r="T33" s="3" t="n">
        <v>28.20331378271243</v>
      </c>
      <c r="U33" s="2" t="n">
        <v>2903969</v>
      </c>
      <c r="V33" s="3" t="n">
        <v>4.26</v>
      </c>
      <c r="W33" s="3" t="n">
        <v>6.911086453999071</v>
      </c>
      <c r="X33" t="inlineStr"/>
    </row>
    <row r="34">
      <c r="A34" t="inlineStr">
        <is>
          <t>2012-09</t>
        </is>
      </c>
      <c r="B34" s="2" t="n">
        <v>47400000</v>
      </c>
      <c r="C34" s="2" t="n">
        <v>1771.099975585938</v>
      </c>
      <c r="D34" s="2" t="n">
        <v>44474661.56321304</v>
      </c>
      <c r="E34" s="2" t="n">
        <v>2925338.436786957</v>
      </c>
      <c r="F34" t="inlineStr"/>
      <c r="G34" s="2" t="n">
        <v>20828</v>
      </c>
      <c r="H34" s="3" t="n">
        <v>392.57</v>
      </c>
      <c r="I34" t="inlineStr"/>
      <c r="J34" s="3" t="n">
        <v>10.5036666666667</v>
      </c>
      <c r="K34" s="3" t="n">
        <v>7.239819004524883</v>
      </c>
      <c r="L34" s="3" t="n">
        <v>10.35989593427937</v>
      </c>
      <c r="M34" t="inlineStr"/>
      <c r="N34" s="3" t="n">
        <v>0.9695559433779311</v>
      </c>
      <c r="O34" s="3" t="n">
        <v>-8.192235734331154</v>
      </c>
      <c r="P34" s="3" t="n">
        <v>13.9935</v>
      </c>
      <c r="Q34" s="3" t="n">
        <v>6.477168722007143</v>
      </c>
      <c r="R34" s="2" t="n">
        <v>3408877</v>
      </c>
      <c r="S34" s="3" t="n">
        <v>27.91</v>
      </c>
      <c r="T34" s="3" t="n">
        <v>28.38059119719503</v>
      </c>
      <c r="U34" s="2" t="n">
        <v>2915695</v>
      </c>
      <c r="V34" s="3" t="n">
        <v>4.68</v>
      </c>
      <c r="W34" s="3" t="n">
        <v>7.331841715976339</v>
      </c>
      <c r="X34" s="3" t="n">
        <v>5.389018656605393</v>
      </c>
    </row>
    <row r="35">
      <c r="A35" t="inlineStr">
        <is>
          <t>2012-10</t>
        </is>
      </c>
      <c r="B35" s="2" t="n">
        <v>46130000</v>
      </c>
      <c r="C35" s="2" t="n">
        <v>1717.5</v>
      </c>
      <c r="D35" s="2" t="n">
        <v>43128695.3236774</v>
      </c>
      <c r="E35" s="2" t="n">
        <v>3001304.676322602</v>
      </c>
      <c r="F35" t="inlineStr"/>
      <c r="G35" s="2" t="n">
        <v>20828</v>
      </c>
      <c r="H35" s="3" t="n">
        <v>388.42</v>
      </c>
      <c r="I35" t="inlineStr"/>
      <c r="J35" s="3" t="n">
        <v>10.5036666666667</v>
      </c>
      <c r="K35" s="3" t="n">
        <v>2.853957636566329</v>
      </c>
      <c r="L35" s="3" t="n">
        <v>-0.2688751949659562</v>
      </c>
      <c r="M35" t="inlineStr"/>
      <c r="N35" s="3" t="n">
        <v>0.1201749747632652</v>
      </c>
      <c r="O35" s="3" t="n">
        <v>-7.6970604310734</v>
      </c>
      <c r="P35" s="3" t="n">
        <v>13.9935</v>
      </c>
      <c r="Q35" s="3" t="n">
        <v>6.997035328960011</v>
      </c>
      <c r="R35" s="2" t="n">
        <v>3441875</v>
      </c>
      <c r="S35" s="3" t="n">
        <v>29.15</v>
      </c>
      <c r="T35" s="3" t="n">
        <v>31.27522763272266</v>
      </c>
      <c r="U35" s="2" t="n">
        <v>2939982</v>
      </c>
      <c r="V35" s="3" t="n">
        <v>5.56</v>
      </c>
      <c r="W35" s="3" t="n">
        <v>7.785691925237082</v>
      </c>
      <c r="X35" t="inlineStr"/>
    </row>
    <row r="36">
      <c r="A36" t="inlineStr">
        <is>
          <t>2012-11</t>
        </is>
      </c>
      <c r="B36" s="2" t="n">
        <v>47120000</v>
      </c>
      <c r="C36" s="2" t="n">
        <v>1710.900024414062</v>
      </c>
      <c r="D36" s="2" t="n">
        <v>42962961.21235885</v>
      </c>
      <c r="E36" s="2" t="n">
        <v>4157038.787641153</v>
      </c>
      <c r="F36" t="inlineStr"/>
      <c r="G36" s="2" t="n">
        <v>20828</v>
      </c>
      <c r="H36" s="3" t="n">
        <v>377.82</v>
      </c>
      <c r="I36" t="inlineStr"/>
      <c r="J36" s="3" t="n">
        <v>10.5036666666667</v>
      </c>
      <c r="K36" s="3" t="n">
        <v>5.296089385474856</v>
      </c>
      <c r="L36" s="3" t="n">
        <v>-1.864445827176942</v>
      </c>
      <c r="M36" t="inlineStr"/>
      <c r="N36" s="3" t="n">
        <v>0.1201749747632652</v>
      </c>
      <c r="O36" s="3" t="n">
        <v>-0.7538942446610131</v>
      </c>
      <c r="P36" s="3" t="n">
        <v>13.9935</v>
      </c>
      <c r="Q36" s="3" t="n">
        <v>7.082300423354981</v>
      </c>
      <c r="R36" s="2" t="n">
        <v>3519376</v>
      </c>
      <c r="S36" s="3" t="n">
        <v>32.06</v>
      </c>
      <c r="T36" t="inlineStr"/>
      <c r="U36" s="2" t="n">
        <v>2984314</v>
      </c>
      <c r="V36" s="3" t="n">
        <v>7.15</v>
      </c>
      <c r="W36" t="inlineStr"/>
      <c r="X36" t="inlineStr"/>
    </row>
    <row r="37">
      <c r="A37" t="inlineStr">
        <is>
          <t>2012-12</t>
        </is>
      </c>
      <c r="B37" s="2" t="n">
        <v>46300000</v>
      </c>
      <c r="C37" s="2" t="n">
        <v>1674.800048828125</v>
      </c>
      <c r="D37" s="2" t="n">
        <v>42056443.10567001</v>
      </c>
      <c r="E37" s="2" t="n">
        <v>4243556.894329995</v>
      </c>
      <c r="F37" t="inlineStr"/>
      <c r="G37" s="2" t="n">
        <v>20828</v>
      </c>
      <c r="H37" s="3" t="n">
        <v>413.73</v>
      </c>
      <c r="I37" t="inlineStr"/>
      <c r="J37" s="3" t="n">
        <v>10.5036666666667</v>
      </c>
      <c r="K37" s="3" t="n">
        <v>10.76555023923444</v>
      </c>
      <c r="L37" s="3" t="n">
        <v>6.96129752209278</v>
      </c>
      <c r="M37" t="inlineStr"/>
      <c r="N37" s="3" t="n">
        <v>0</v>
      </c>
      <c r="O37" s="3" t="n">
        <v>17.68738444033566</v>
      </c>
      <c r="P37" s="3" t="n">
        <v>13.9935</v>
      </c>
      <c r="Q37" s="3" t="n">
        <v>6.805354256936269</v>
      </c>
      <c r="R37" s="2" t="n">
        <v>3702867</v>
      </c>
      <c r="S37" s="3" t="n">
        <v>38.94</v>
      </c>
      <c r="T37" s="3" t="n">
        <v>38.94195447283087</v>
      </c>
      <c r="U37" s="2" t="n">
        <v>3090904</v>
      </c>
      <c r="V37" s="3" t="n">
        <v>10.98</v>
      </c>
      <c r="W37" s="3" t="n">
        <v>10.97999999999999</v>
      </c>
      <c r="X37" s="3" t="n">
        <v>5.569737739487901</v>
      </c>
    </row>
    <row r="38">
      <c r="A38" t="inlineStr">
        <is>
          <t>2013-01</t>
        </is>
      </c>
      <c r="B38" s="2" t="n">
        <v>45620000</v>
      </c>
      <c r="C38" s="2" t="n">
        <v>1660.599975585938</v>
      </c>
      <c r="D38" s="2" t="n">
        <v>41699860.49580905</v>
      </c>
      <c r="E38" s="2" t="n">
        <v>3920139.504190952</v>
      </c>
      <c r="F38" t="inlineStr"/>
      <c r="G38" s="2" t="n">
        <v>20828</v>
      </c>
      <c r="H38" s="3" t="n">
        <v>479.79</v>
      </c>
      <c r="I38" t="inlineStr"/>
      <c r="J38" s="3" t="n">
        <v>7.14</v>
      </c>
      <c r="K38" s="3" t="n">
        <v>0.6397529230090404</v>
      </c>
      <c r="L38" s="3" t="n">
        <v>-4.442402524631451</v>
      </c>
      <c r="M38" t="inlineStr"/>
      <c r="N38" s="3" t="n">
        <v>0</v>
      </c>
      <c r="O38" s="3" t="n">
        <v>23.66677835915148</v>
      </c>
      <c r="P38" s="3" t="n">
        <v>10.5036666666667</v>
      </c>
      <c r="Q38" s="3" t="n">
        <v>7.069723945691098</v>
      </c>
      <c r="R38" s="2" t="n">
        <v>3766292</v>
      </c>
      <c r="S38" s="3" t="n">
        <v>1.71</v>
      </c>
      <c r="T38" s="3" t="n">
        <v>40.28370421578327</v>
      </c>
      <c r="U38" s="2" t="n">
        <v>3079409</v>
      </c>
      <c r="V38" s="3" t="n">
        <v>-0.37</v>
      </c>
      <c r="W38" s="3" t="n">
        <v>9.702722492310723</v>
      </c>
      <c r="X38" t="inlineStr"/>
    </row>
    <row r="39">
      <c r="A39" t="inlineStr">
        <is>
          <t>2013-02</t>
        </is>
      </c>
      <c r="B39" s="2" t="n">
        <v>43300000</v>
      </c>
      <c r="C39" s="2" t="n">
        <v>1577.699951171875</v>
      </c>
      <c r="D39" s="2" t="n">
        <v>39618131.29913975</v>
      </c>
      <c r="E39" s="2" t="n">
        <v>3681868.700860254</v>
      </c>
      <c r="F39" t="inlineStr"/>
      <c r="G39" s="2" t="n">
        <v>20828</v>
      </c>
      <c r="H39" s="3" t="n">
        <v>474.56</v>
      </c>
      <c r="I39" t="inlineStr"/>
      <c r="J39" s="3" t="n">
        <v>7.14</v>
      </c>
      <c r="K39" s="3" t="n">
        <v>-4.351667771150868</v>
      </c>
      <c r="L39" s="3" t="n">
        <v>-7.73145045643756</v>
      </c>
      <c r="M39" t="inlineStr"/>
      <c r="N39" s="3" t="n">
        <v>0</v>
      </c>
      <c r="O39" s="3" t="n">
        <v>12.01963931640073</v>
      </c>
      <c r="P39" s="3" t="n">
        <v>10.5036666666667</v>
      </c>
      <c r="Q39" s="3" t="n">
        <v>7.016912599165614</v>
      </c>
      <c r="R39" s="2" t="n">
        <v>3786543</v>
      </c>
      <c r="S39" s="3" t="n">
        <v>2.26</v>
      </c>
      <c r="T39" s="3" t="n">
        <v>41.92557060065714</v>
      </c>
      <c r="U39" s="2" t="n">
        <v>3089273</v>
      </c>
      <c r="V39" s="3" t="n">
        <v>-0.05</v>
      </c>
      <c r="W39" s="3" t="n">
        <v>8.208477221734455</v>
      </c>
      <c r="X39" t="inlineStr"/>
    </row>
    <row r="40">
      <c r="A40" t="inlineStr">
        <is>
          <t>2013-03</t>
        </is>
      </c>
      <c r="B40" s="2" t="n">
        <v>43870000</v>
      </c>
      <c r="C40" s="2" t="n">
        <v>1594.800048828125</v>
      </c>
      <c r="D40" s="2" t="n">
        <v>40047537.35551327</v>
      </c>
      <c r="E40" s="2" t="n">
        <v>3822462.644486725</v>
      </c>
      <c r="F40" t="inlineStr"/>
      <c r="G40" s="2" t="n">
        <v>20828</v>
      </c>
      <c r="H40" s="3" t="n">
        <v>491.04</v>
      </c>
      <c r="I40" t="inlineStr"/>
      <c r="J40" s="3" t="n">
        <v>7.14</v>
      </c>
      <c r="K40" s="3" t="n">
        <v>-0.2954545454545432</v>
      </c>
      <c r="L40" s="3" t="n">
        <v>-4.462948410760559</v>
      </c>
      <c r="M40" t="inlineStr"/>
      <c r="N40" s="3" t="n">
        <v>0</v>
      </c>
      <c r="O40" s="3" t="n">
        <v>11.33936466907015</v>
      </c>
      <c r="P40" s="3" t="n">
        <v>10.5036666666667</v>
      </c>
      <c r="Q40" s="3" t="n">
        <v>6.642951742439296</v>
      </c>
      <c r="R40" s="2" t="n">
        <v>3842421</v>
      </c>
      <c r="S40" s="3" t="n">
        <v>3.77</v>
      </c>
      <c r="T40" s="3" t="n">
        <v>21.35166905006141</v>
      </c>
      <c r="U40" s="2" t="n">
        <v>3127145</v>
      </c>
      <c r="V40" s="3" t="n">
        <v>1.17</v>
      </c>
      <c r="W40" s="3" t="n">
        <v>11.1557924957925</v>
      </c>
      <c r="X40" s="3" t="n">
        <v>4.760022022764443</v>
      </c>
    </row>
    <row r="41">
      <c r="A41" t="inlineStr">
        <is>
          <t>2013-04</t>
        </is>
      </c>
      <c r="B41" s="2" t="n">
        <v>42900000</v>
      </c>
      <c r="C41" s="2" t="n">
        <v>1472.199951171875</v>
      </c>
      <c r="D41" s="2" t="n">
        <v>36968886.84112055</v>
      </c>
      <c r="E41" s="2" t="n">
        <v>5931113.158879451</v>
      </c>
      <c r="F41" t="inlineStr"/>
      <c r="G41" s="2" t="n">
        <v>20828</v>
      </c>
      <c r="H41" s="3" t="n">
        <v>474.51</v>
      </c>
      <c r="I41" t="inlineStr"/>
      <c r="J41" s="3" t="n">
        <v>7.14</v>
      </c>
      <c r="K41" s="3" t="n">
        <v>-0.2325581395348886</v>
      </c>
      <c r="L41" s="3" t="n">
        <v>-11.49453351183748</v>
      </c>
      <c r="M41" t="inlineStr"/>
      <c r="N41" s="3" t="n">
        <v>0</v>
      </c>
      <c r="O41" s="3" t="n">
        <v>0.1561939337653362</v>
      </c>
      <c r="P41" s="3" t="n">
        <v>10.5036666666667</v>
      </c>
      <c r="Q41" s="3" t="n">
        <v>6.610974845365125</v>
      </c>
      <c r="R41" s="2" t="n">
        <v>3866254</v>
      </c>
      <c r="S41" s="3" t="n">
        <v>4.41</v>
      </c>
      <c r="T41" s="3" t="n">
        <v>21.39532021328503</v>
      </c>
      <c r="U41" s="2" t="n">
        <v>3159403</v>
      </c>
      <c r="V41" s="3" t="n">
        <v>2.22</v>
      </c>
      <c r="W41" s="3" t="n">
        <v>11.49263488943486</v>
      </c>
      <c r="X41" t="inlineStr"/>
    </row>
    <row r="42">
      <c r="A42" t="inlineStr">
        <is>
          <t>2013-05</t>
        </is>
      </c>
      <c r="B42" s="2" t="n">
        <v>41200000</v>
      </c>
      <c r="C42" s="2" t="n">
        <v>1392.599975585938</v>
      </c>
      <c r="D42" s="2" t="n">
        <v>34970026.232784</v>
      </c>
      <c r="E42" s="2" t="n">
        <v>6229973.767216004</v>
      </c>
      <c r="F42" t="inlineStr"/>
      <c r="G42" s="2" t="n">
        <v>20828</v>
      </c>
      <c r="H42" s="3" t="n">
        <v>518.39</v>
      </c>
      <c r="I42" t="inlineStr"/>
      <c r="J42" s="3" t="n">
        <v>7.14</v>
      </c>
      <c r="K42" s="3" t="n">
        <v>-0.6271104679208883</v>
      </c>
      <c r="L42" s="3" t="n">
        <v>-10.87930389453987</v>
      </c>
      <c r="M42" t="inlineStr"/>
      <c r="N42" s="3" t="n">
        <v>0</v>
      </c>
      <c r="O42" s="3" t="n">
        <v>20.78052190121156</v>
      </c>
      <c r="P42" s="3" t="n">
        <v>10.5036666666667</v>
      </c>
      <c r="Q42" s="3" t="n">
        <v>6.355568237630083</v>
      </c>
      <c r="R42" s="2" t="n">
        <v>3899158</v>
      </c>
      <c r="S42" s="3" t="n">
        <v>5.3</v>
      </c>
      <c r="T42" s="3" t="n">
        <v>20.07802445624474</v>
      </c>
      <c r="U42" s="2" t="n">
        <v>3187638</v>
      </c>
      <c r="V42" s="3" t="n">
        <v>3.13</v>
      </c>
      <c r="W42" s="3" t="n">
        <v>11.6403374951229</v>
      </c>
      <c r="X42" t="inlineStr"/>
    </row>
    <row r="43">
      <c r="A43" t="inlineStr">
        <is>
          <t>2013-06</t>
        </is>
      </c>
      <c r="B43" s="2" t="n">
        <v>37700000</v>
      </c>
      <c r="C43" s="2" t="n">
        <v>1223.800048828125</v>
      </c>
      <c r="D43" s="2" t="n">
        <v>31038136.17496637</v>
      </c>
      <c r="E43" s="2" t="n">
        <v>6661863.825033631</v>
      </c>
      <c r="F43" t="inlineStr"/>
      <c r="G43" s="2" t="n">
        <v>21036</v>
      </c>
      <c r="H43" s="3" t="n">
        <v>481.13</v>
      </c>
      <c r="I43" t="inlineStr"/>
      <c r="J43" s="3" t="n">
        <v>7.14</v>
      </c>
      <c r="K43" s="3" t="n">
        <v>-10.08824230860959</v>
      </c>
      <c r="L43" s="3" t="n">
        <v>-22.91726864783185</v>
      </c>
      <c r="M43" t="inlineStr"/>
      <c r="N43" s="3" t="n">
        <v>0.998655655847891</v>
      </c>
      <c r="O43" s="3" t="n">
        <v>13.911972914743</v>
      </c>
      <c r="P43" s="3" t="n">
        <v>10.5036666666667</v>
      </c>
      <c r="Q43" s="3" t="n">
        <v>6.686129959643972</v>
      </c>
      <c r="R43" s="2" t="n">
        <v>3973449</v>
      </c>
      <c r="S43" s="3" t="n">
        <v>7.31</v>
      </c>
      <c r="T43" s="3" t="n">
        <v>20.1655756816955</v>
      </c>
      <c r="U43" s="2" t="n">
        <v>3236786</v>
      </c>
      <c r="V43" s="3" t="n">
        <v>4.72</v>
      </c>
      <c r="W43" s="3" t="n">
        <v>12.09322530864196</v>
      </c>
      <c r="X43" s="3" t="n">
        <v>5.003042504021593</v>
      </c>
    </row>
    <row r="44">
      <c r="A44" t="inlineStr">
        <is>
          <t>2013-07</t>
        </is>
      </c>
      <c r="B44" s="2" t="n">
        <v>38100000</v>
      </c>
      <c r="C44" s="2" t="n">
        <v>1312.400024414062</v>
      </c>
      <c r="D44" s="2" t="n">
        <v>33285217.39543887</v>
      </c>
      <c r="E44" s="2" t="n">
        <v>4814782.604561131</v>
      </c>
      <c r="F44" t="inlineStr"/>
      <c r="G44" s="2" t="n">
        <v>21036</v>
      </c>
      <c r="H44" s="3" t="n">
        <v>491.85</v>
      </c>
      <c r="I44" t="inlineStr"/>
      <c r="J44" s="3" t="n">
        <v>7.14</v>
      </c>
      <c r="K44" s="3" t="n">
        <v>-9.479686386315034</v>
      </c>
      <c r="L44" s="3" t="n">
        <v>-17.69597134522061</v>
      </c>
      <c r="M44" t="inlineStr"/>
      <c r="N44" s="3" t="n">
        <v>0.998655655847891</v>
      </c>
      <c r="O44" s="3" t="n">
        <v>18.6667631731326</v>
      </c>
      <c r="P44" s="3" t="n">
        <v>10.5036666666667</v>
      </c>
      <c r="Q44" s="3" t="n">
        <v>7.285309909271898</v>
      </c>
      <c r="R44" s="2" t="n">
        <v>3981117</v>
      </c>
      <c r="S44" s="3" t="n">
        <v>7.51</v>
      </c>
      <c r="T44" s="3" t="n">
        <v>19.23710264452394</v>
      </c>
      <c r="U44" s="2" t="n">
        <v>3256543</v>
      </c>
      <c r="V44" s="3" t="n">
        <v>5.36</v>
      </c>
      <c r="W44" s="3" t="n">
        <v>13.07274731650709</v>
      </c>
      <c r="X44" t="inlineStr"/>
    </row>
    <row r="45">
      <c r="A45" t="inlineStr">
        <is>
          <t>2013-08</t>
        </is>
      </c>
      <c r="B45" s="2" t="n">
        <v>38450000</v>
      </c>
      <c r="C45" s="2" t="n">
        <v>1396.099975585938</v>
      </c>
      <c r="D45" s="2" t="n">
        <v>35408023.71890518</v>
      </c>
      <c r="E45" s="2" t="n">
        <v>3041976.281094819</v>
      </c>
      <c r="F45" t="inlineStr"/>
      <c r="G45" s="2" t="n">
        <v>21036</v>
      </c>
      <c r="H45" s="3" t="n">
        <v>472.7</v>
      </c>
      <c r="I45" t="inlineStr"/>
      <c r="J45" s="3" t="n">
        <v>7.14</v>
      </c>
      <c r="K45" s="3" t="n">
        <v>-13.63432165318957</v>
      </c>
      <c r="L45" s="3" t="n">
        <v>-16.29809881346003</v>
      </c>
      <c r="M45" t="inlineStr"/>
      <c r="N45" s="3" t="n">
        <v>0.998655655847891</v>
      </c>
      <c r="O45" s="3" t="n">
        <v>19.36265845159335</v>
      </c>
      <c r="P45" s="3" t="n">
        <v>10.5036666666667</v>
      </c>
      <c r="Q45" s="3" t="n">
        <v>7.498537197176725</v>
      </c>
      <c r="R45" s="2" t="n">
        <v>4039750</v>
      </c>
      <c r="S45" s="3" t="n">
        <v>9.1</v>
      </c>
      <c r="T45" s="3" t="n">
        <v>19.81518846404921</v>
      </c>
      <c r="U45" s="2" t="n">
        <v>3289999</v>
      </c>
      <c r="V45" s="3" t="n">
        <v>6.44</v>
      </c>
      <c r="W45" s="3" t="n">
        <v>13.30051026280452</v>
      </c>
      <c r="X45" t="inlineStr"/>
    </row>
    <row r="46">
      <c r="A46" t="inlineStr">
        <is>
          <t>2013-09</t>
        </is>
      </c>
      <c r="B46" s="2" t="n">
        <v>37560000</v>
      </c>
      <c r="C46" s="2" t="n">
        <v>1326.5</v>
      </c>
      <c r="D46" s="2" t="n">
        <v>33642822.35118234</v>
      </c>
      <c r="E46" s="2" t="n">
        <v>3917177.648817658</v>
      </c>
      <c r="F46" t="inlineStr"/>
      <c r="G46" s="2" t="n">
        <v>21036</v>
      </c>
      <c r="H46" s="3" t="n">
        <v>492.63</v>
      </c>
      <c r="I46" t="inlineStr"/>
      <c r="J46" s="3" t="n">
        <v>7.14</v>
      </c>
      <c r="K46" s="3" t="n">
        <v>-20.75949367088608</v>
      </c>
      <c r="L46" s="3" t="n">
        <v>-24.35507956959968</v>
      </c>
      <c r="M46" t="inlineStr"/>
      <c r="N46" s="3" t="n">
        <v>0.998655655847891</v>
      </c>
      <c r="O46" s="3" t="n">
        <v>25.48844792011615</v>
      </c>
      <c r="P46" s="3" t="n">
        <v>10.5036666666667</v>
      </c>
      <c r="Q46" s="3" t="n">
        <v>6.299434140378479</v>
      </c>
      <c r="R46" s="2" t="n">
        <v>4085496</v>
      </c>
      <c r="S46" s="3" t="n">
        <v>10.33</v>
      </c>
      <c r="T46" s="3" t="n">
        <v>19.84873610869504</v>
      </c>
      <c r="U46" s="2" t="n">
        <v>3303252</v>
      </c>
      <c r="V46" s="3" t="n">
        <v>6.87</v>
      </c>
      <c r="W46" s="3" t="n">
        <v>13.30180168131447</v>
      </c>
      <c r="X46" s="3" t="n">
        <v>5.544839686894076</v>
      </c>
    </row>
    <row r="47">
      <c r="A47" t="inlineStr">
        <is>
          <t>2013-10</t>
        </is>
      </c>
      <c r="B47" s="2" t="n">
        <v>37160000</v>
      </c>
      <c r="C47" s="2" t="n">
        <v>1323.599975585938</v>
      </c>
      <c r="D47" s="2" t="n">
        <v>33569271.64920241</v>
      </c>
      <c r="E47" s="2" t="n">
        <v>3590728.350797586</v>
      </c>
      <c r="F47" t="inlineStr"/>
      <c r="G47" s="2" t="n">
        <v>21036</v>
      </c>
      <c r="H47" s="3" t="n">
        <v>497.41</v>
      </c>
      <c r="I47" t="inlineStr"/>
      <c r="J47" s="3" t="n">
        <v>7.14</v>
      </c>
      <c r="K47" s="3" t="n">
        <v>-19.44504660741383</v>
      </c>
      <c r="L47" s="3" t="n">
        <v>-22.16488025601581</v>
      </c>
      <c r="M47" t="inlineStr"/>
      <c r="N47" s="3" t="n">
        <v>0.998655655847891</v>
      </c>
      <c r="O47" s="3" t="n">
        <v>28.0598321404665</v>
      </c>
      <c r="P47" s="3" t="n">
        <v>10.5036666666667</v>
      </c>
      <c r="Q47" s="3" t="n">
        <v>5.919981524706253</v>
      </c>
      <c r="R47" s="2" t="n">
        <v>4137265</v>
      </c>
      <c r="S47" s="3" t="n">
        <v>11.73</v>
      </c>
      <c r="T47" s="3" t="n">
        <v>20.20381332849102</v>
      </c>
      <c r="U47" s="2" t="n">
        <v>3315766</v>
      </c>
      <c r="V47" s="3" t="n">
        <v>7.27</v>
      </c>
      <c r="W47" s="3" t="n">
        <v>12.7778003031451</v>
      </c>
      <c r="X47" t="inlineStr"/>
    </row>
    <row r="48">
      <c r="A48" t="inlineStr">
        <is>
          <t>2013-11</t>
        </is>
      </c>
      <c r="B48" s="2" t="n">
        <v>35550000</v>
      </c>
      <c r="C48" s="2" t="n">
        <v>1250.599975585938</v>
      </c>
      <c r="D48" s="2" t="n">
        <v>31717838.53074308</v>
      </c>
      <c r="E48" s="2" t="n">
        <v>3832161.469256923</v>
      </c>
      <c r="F48" t="inlineStr"/>
      <c r="G48" s="2" t="n">
        <v>21036</v>
      </c>
      <c r="H48" s="3" t="n">
        <v>507.78</v>
      </c>
      <c r="I48" t="inlineStr"/>
      <c r="J48" s="3" t="n">
        <v>7.14</v>
      </c>
      <c r="K48" s="3" t="n">
        <v>-24.55432937181664</v>
      </c>
      <c r="L48" s="3" t="n">
        <v>-26.17399351509543</v>
      </c>
      <c r="M48" t="inlineStr"/>
      <c r="N48" s="3" t="n">
        <v>0.998655655847891</v>
      </c>
      <c r="O48" s="3" t="n">
        <v>34.39733206288709</v>
      </c>
      <c r="P48" s="3" t="n">
        <v>10.5036666666667</v>
      </c>
      <c r="Q48" s="3" t="n">
        <v>5.782929692336336</v>
      </c>
      <c r="R48" s="2" t="n">
        <v>4217699</v>
      </c>
      <c r="S48" s="3" t="n">
        <v>13.9</v>
      </c>
      <c r="T48" s="3" t="n">
        <v>19.84223907874578</v>
      </c>
      <c r="U48" s="2" t="n">
        <v>3344612</v>
      </c>
      <c r="V48" s="3" t="n">
        <v>8.210000000000001</v>
      </c>
      <c r="W48" s="3" t="n">
        <v>12.07788894073729</v>
      </c>
      <c r="X48" t="inlineStr"/>
    </row>
    <row r="49">
      <c r="A49" t="inlineStr">
        <is>
          <t>2013-12</t>
        </is>
      </c>
      <c r="B49" s="2" t="n">
        <v>34780000</v>
      </c>
      <c r="C49" s="2" t="n">
        <v>1201.900024414062</v>
      </c>
      <c r="D49" s="2" t="n">
        <v>30482705.62023672</v>
      </c>
      <c r="E49" s="2" t="n">
        <v>4297294.379763279</v>
      </c>
      <c r="F49" t="inlineStr"/>
      <c r="G49" s="2" t="n">
        <v>21036</v>
      </c>
      <c r="H49" s="3" t="n">
        <v>504.63</v>
      </c>
      <c r="I49" t="inlineStr"/>
      <c r="J49" s="3" t="n">
        <v>7.14</v>
      </c>
      <c r="K49" s="3" t="n">
        <v>-24.88120950323974</v>
      </c>
      <c r="L49" s="3" t="n">
        <v>-27.51953477462036</v>
      </c>
      <c r="M49" t="inlineStr"/>
      <c r="N49" s="3" t="n">
        <v>0.998655655847891</v>
      </c>
      <c r="O49" s="3" t="n">
        <v>21.9708505547096</v>
      </c>
      <c r="P49" s="3" t="n">
        <v>10.5036666666667</v>
      </c>
      <c r="Q49" s="3" t="n">
        <v>6.036125096007994</v>
      </c>
      <c r="R49" s="2" t="n">
        <v>4400692</v>
      </c>
      <c r="S49" s="3" t="n">
        <v>18.85</v>
      </c>
      <c r="T49" s="3" t="n">
        <v>18.84553239422317</v>
      </c>
      <c r="U49" s="2" t="n">
        <v>3477985</v>
      </c>
      <c r="V49" s="3" t="n">
        <v>12.52</v>
      </c>
      <c r="W49" s="3" t="n">
        <v>12.52</v>
      </c>
      <c r="X49" s="3" t="n">
        <v>6.046188366930738</v>
      </c>
    </row>
    <row r="50">
      <c r="A50" t="inlineStr">
        <is>
          <t>2014-01</t>
        </is>
      </c>
      <c r="B50" s="2" t="n">
        <v>35360000</v>
      </c>
      <c r="C50" s="2" t="n">
        <v>1240.099975585938</v>
      </c>
      <c r="D50" s="2" t="n">
        <v>31451536.50685509</v>
      </c>
      <c r="E50" s="2" t="n">
        <v>3908463.493144911</v>
      </c>
      <c r="F50" t="inlineStr"/>
      <c r="G50" s="2" t="n">
        <v>21036</v>
      </c>
      <c r="H50" s="3" t="n">
        <v>556.52</v>
      </c>
      <c r="I50" t="inlineStr"/>
      <c r="J50" s="3" t="n">
        <v>5.7575</v>
      </c>
      <c r="K50" s="3" t="n">
        <v>-22.49013590530469</v>
      </c>
      <c r="L50" s="3" t="n">
        <v>-24.57639873875344</v>
      </c>
      <c r="M50" t="inlineStr"/>
      <c r="N50" s="3" t="n">
        <v>0.998655655847891</v>
      </c>
      <c r="O50" s="3" t="n">
        <v>15.99241334750618</v>
      </c>
      <c r="P50" s="3" t="n">
        <v>7.14</v>
      </c>
      <c r="Q50" s="3" t="n">
        <v>5.449653688069533</v>
      </c>
      <c r="R50" s="2" t="n">
        <v>4494180</v>
      </c>
      <c r="S50" s="3" t="n">
        <v>2.12</v>
      </c>
      <c r="T50" s="3" t="n">
        <v>19.32638255345045</v>
      </c>
      <c r="U50" s="2" t="n">
        <v>3460484</v>
      </c>
      <c r="V50" s="3" t="n">
        <v>-0.5</v>
      </c>
      <c r="W50" s="3" t="n">
        <v>12.37318076884473</v>
      </c>
      <c r="X50" t="inlineStr"/>
    </row>
    <row r="51">
      <c r="A51" t="inlineStr">
        <is>
          <t>2014-02</t>
        </is>
      </c>
      <c r="B51" s="2" t="n">
        <v>36170000</v>
      </c>
      <c r="C51" s="2" t="n">
        <v>1321.400024414062</v>
      </c>
      <c r="D51" s="2" t="n">
        <v>33513476.27305714</v>
      </c>
      <c r="E51" s="2" t="n">
        <v>2656523.726942856</v>
      </c>
      <c r="F51" t="inlineStr"/>
      <c r="G51" s="2" t="n">
        <v>21036</v>
      </c>
      <c r="H51" s="3" t="n">
        <v>586.48</v>
      </c>
      <c r="I51" t="inlineStr"/>
      <c r="J51" s="3" t="n">
        <v>5.7575</v>
      </c>
      <c r="K51" s="3" t="n">
        <v>-16.46651270207852</v>
      </c>
      <c r="L51" s="3" t="n">
        <v>-15.40874045771855</v>
      </c>
      <c r="M51" t="inlineStr"/>
      <c r="N51" s="3" t="n">
        <v>0.998655655847891</v>
      </c>
      <c r="O51" s="3" t="n">
        <v>23.58395144976399</v>
      </c>
      <c r="P51" s="3" t="n">
        <v>7.14</v>
      </c>
      <c r="Q51" s="3" t="n">
        <v>4.648269624313128</v>
      </c>
      <c r="R51" s="2" t="n">
        <v>4475609</v>
      </c>
      <c r="S51" s="3" t="n">
        <v>1.7</v>
      </c>
      <c r="T51" s="3" t="n">
        <v>18.19775980359921</v>
      </c>
      <c r="U51" s="2" t="n">
        <v>3437733</v>
      </c>
      <c r="V51" s="3" t="n">
        <v>-1.16</v>
      </c>
      <c r="W51" s="3" t="n">
        <v>11.27040320160078</v>
      </c>
      <c r="X51" t="inlineStr"/>
    </row>
    <row r="52">
      <c r="A52" t="inlineStr">
        <is>
          <t>2014-03</t>
        </is>
      </c>
      <c r="B52" s="2" t="n">
        <v>35550000</v>
      </c>
      <c r="C52" s="2" t="n">
        <v>1283.400024414062</v>
      </c>
      <c r="D52" s="2" t="n">
        <v>32549716.56755776</v>
      </c>
      <c r="E52" s="2" t="n">
        <v>3000283.432442237</v>
      </c>
      <c r="F52" t="inlineStr"/>
      <c r="G52" s="2" t="n">
        <v>21036</v>
      </c>
      <c r="H52" s="3" t="n">
        <v>591.5700000000001</v>
      </c>
      <c r="I52" t="inlineStr"/>
      <c r="J52" s="3" t="n">
        <v>5.7575</v>
      </c>
      <c r="K52" s="3" t="n">
        <v>-18.96512423068156</v>
      </c>
      <c r="L52" s="3" t="n">
        <v>-18.72230175202846</v>
      </c>
      <c r="M52" t="inlineStr"/>
      <c r="N52" s="3" t="n">
        <v>0.998655655847891</v>
      </c>
      <c r="O52" s="3" t="n">
        <v>20.47287390029327</v>
      </c>
      <c r="P52" s="3" t="n">
        <v>7.14</v>
      </c>
      <c r="Q52" s="3" t="n">
        <v>4.386150924723076</v>
      </c>
      <c r="R52" s="2" t="n">
        <v>4524885</v>
      </c>
      <c r="S52" s="3" t="n">
        <v>2.82</v>
      </c>
      <c r="T52" s="3" t="n">
        <v>17.76130205409558</v>
      </c>
      <c r="U52" s="2" t="n">
        <v>3496178</v>
      </c>
      <c r="V52" s="3" t="n">
        <v>0.52</v>
      </c>
      <c r="W52" s="3" t="n">
        <v>11.79707818523277</v>
      </c>
      <c r="X52" s="3" t="n">
        <v>5.064212270813018</v>
      </c>
    </row>
    <row r="53">
      <c r="A53" t="inlineStr">
        <is>
          <t>2014-04</t>
        </is>
      </c>
      <c r="B53" s="2" t="n">
        <v>35460000</v>
      </c>
      <c r="C53" s="2" t="n">
        <v>1295.599975585938</v>
      </c>
      <c r="D53" s="2" t="n">
        <v>32859132.91883445</v>
      </c>
      <c r="E53" s="2" t="n">
        <v>2600867.081165552</v>
      </c>
      <c r="F53" t="inlineStr"/>
      <c r="G53" s="2" t="n">
        <v>21036</v>
      </c>
      <c r="H53" s="3" t="n">
        <v>578</v>
      </c>
      <c r="I53" t="inlineStr"/>
      <c r="J53" s="3" t="n">
        <v>5.7575</v>
      </c>
      <c r="K53" s="3" t="n">
        <v>-17.34265734265734</v>
      </c>
      <c r="L53" s="3" t="n">
        <v>-11.11679110044184</v>
      </c>
      <c r="M53" t="inlineStr"/>
      <c r="N53" s="3" t="n">
        <v>0.998655655847891</v>
      </c>
      <c r="O53" s="3" t="n">
        <v>21.8098670207161</v>
      </c>
      <c r="P53" s="3" t="n">
        <v>7.14</v>
      </c>
      <c r="Q53" s="3" t="n">
        <v>4.448770091444532</v>
      </c>
      <c r="R53" s="2" t="n">
        <v>4565050</v>
      </c>
      <c r="S53" s="3" t="n">
        <v>3.73</v>
      </c>
      <c r="T53" s="3" t="n">
        <v>18.0742393024359</v>
      </c>
      <c r="U53" s="2" t="n">
        <v>3527747</v>
      </c>
      <c r="V53" s="3" t="n">
        <v>1.43</v>
      </c>
      <c r="W53" s="3" t="n">
        <v>11.65039718254743</v>
      </c>
      <c r="X53" t="inlineStr"/>
    </row>
    <row r="54">
      <c r="A54" t="inlineStr">
        <is>
          <t>2014-05</t>
        </is>
      </c>
      <c r="B54" s="2" t="n">
        <v>36460000</v>
      </c>
      <c r="C54" s="2" t="n">
        <v>1245.599975585938</v>
      </c>
      <c r="D54" s="2" t="n">
        <v>31591028.04317737</v>
      </c>
      <c r="E54" s="2" t="n">
        <v>4868971.956822634</v>
      </c>
      <c r="F54" t="inlineStr"/>
      <c r="G54" s="2" t="n">
        <v>21036</v>
      </c>
      <c r="H54" s="3" t="n">
        <v>562.02</v>
      </c>
      <c r="I54" t="inlineStr"/>
      <c r="J54" s="3" t="n">
        <v>5.7575</v>
      </c>
      <c r="K54" s="3" t="n">
        <v>-11.50485436893204</v>
      </c>
      <c r="L54" s="3" t="n">
        <v>-9.662555489989478</v>
      </c>
      <c r="M54" t="inlineStr"/>
      <c r="N54" s="3" t="n">
        <v>0.998655655847891</v>
      </c>
      <c r="O54" s="3" t="n">
        <v>8.416443218426274</v>
      </c>
      <c r="P54" s="3" t="n">
        <v>7.14</v>
      </c>
      <c r="Q54" s="3" t="n">
        <v>4.720499931586364</v>
      </c>
      <c r="R54" s="2" t="n">
        <v>4608425</v>
      </c>
      <c r="S54" s="3" t="n">
        <v>4.72</v>
      </c>
      <c r="T54" s="3" t="n">
        <v>18.19026056394739</v>
      </c>
      <c r="U54" s="2" t="n">
        <v>3530945</v>
      </c>
      <c r="V54" s="3" t="n">
        <v>1.52</v>
      </c>
      <c r="W54" s="3" t="n">
        <v>10.76340928924657</v>
      </c>
      <c r="X54" t="inlineStr"/>
    </row>
    <row r="55">
      <c r="A55" t="inlineStr">
        <is>
          <t>2014-06</t>
        </is>
      </c>
      <c r="B55" s="2" t="n">
        <v>36820000</v>
      </c>
      <c r="C55" s="2" t="n">
        <v>1321.800048828125</v>
      </c>
      <c r="D55" s="2" t="n">
        <v>33858284.24140653</v>
      </c>
      <c r="E55" s="2" t="n">
        <v>2961715.75859347</v>
      </c>
      <c r="F55" t="inlineStr"/>
      <c r="G55" s="2" t="n">
        <v>21246</v>
      </c>
      <c r="H55" s="3" t="n">
        <v>578.13</v>
      </c>
      <c r="I55" t="inlineStr"/>
      <c r="J55" s="3" t="n">
        <v>5.7575</v>
      </c>
      <c r="K55" s="3" t="n">
        <v>-2.334217506631298</v>
      </c>
      <c r="L55" s="3" t="n">
        <v>9.08607414614908</v>
      </c>
      <c r="M55" t="inlineStr"/>
      <c r="N55" s="3" t="n">
        <v>0.9982886480319531</v>
      </c>
      <c r="O55" s="3" t="n">
        <v>20.16087128218984</v>
      </c>
      <c r="P55" s="3" t="n">
        <v>7.14</v>
      </c>
      <c r="Q55" s="3" t="n">
        <v>4.982170346208137</v>
      </c>
      <c r="R55" s="2" t="n">
        <v>4708299</v>
      </c>
      <c r="S55" s="3" t="n">
        <v>6.99</v>
      </c>
      <c r="T55" s="3" t="n">
        <v>18.49400860562196</v>
      </c>
      <c r="U55" s="2" t="n">
        <v>3607354</v>
      </c>
      <c r="V55" s="3" t="n">
        <v>3.72</v>
      </c>
      <c r="W55" s="3" t="n">
        <v>11.44551566080976</v>
      </c>
      <c r="X55" s="3" t="n">
        <v>5.335258381640817</v>
      </c>
    </row>
    <row r="56">
      <c r="A56" t="inlineStr">
        <is>
          <t>2014-07</t>
        </is>
      </c>
      <c r="B56" s="2" t="n">
        <v>36690000</v>
      </c>
      <c r="C56" s="2" t="n">
        <v>1281.300048828125</v>
      </c>
      <c r="D56" s="2" t="n">
        <v>32820865.22103905</v>
      </c>
      <c r="E56" s="2" t="n">
        <v>3869134.778960954</v>
      </c>
      <c r="F56" t="inlineStr"/>
      <c r="G56" s="2" t="n">
        <v>21246</v>
      </c>
      <c r="H56" s="3" t="n">
        <v>596.0700000000001</v>
      </c>
      <c r="I56" t="inlineStr"/>
      <c r="J56" s="3" t="n">
        <v>5.7575</v>
      </c>
      <c r="K56" s="3" t="n">
        <v>-3.700787401574801</v>
      </c>
      <c r="L56" s="3" t="n">
        <v>-1.395070276643151</v>
      </c>
      <c r="M56" t="inlineStr"/>
      <c r="N56" s="3" t="n">
        <v>0.9982886480319531</v>
      </c>
      <c r="O56" s="3" t="n">
        <v>21.18938700823423</v>
      </c>
      <c r="P56" s="3" t="n">
        <v>7.14</v>
      </c>
      <c r="Q56" s="3" t="n">
        <v>4.940290553509952</v>
      </c>
      <c r="R56" s="2" t="n">
        <v>4701924</v>
      </c>
      <c r="S56" s="3" t="n">
        <v>6.85</v>
      </c>
      <c r="T56" s="3" t="n">
        <v>18.10564723418075</v>
      </c>
      <c r="U56" s="2" t="n">
        <v>3673562</v>
      </c>
      <c r="V56" s="3" t="n">
        <v>5.62</v>
      </c>
      <c r="W56" s="3" t="n">
        <v>12.79766894457097</v>
      </c>
      <c r="X56" t="inlineStr"/>
    </row>
    <row r="57">
      <c r="A57" t="inlineStr">
        <is>
          <t>2014-08</t>
        </is>
      </c>
      <c r="B57" s="2" t="n">
        <v>36530000</v>
      </c>
      <c r="C57" s="2" t="n">
        <v>1285.800048828125</v>
      </c>
      <c r="D57" s="2" t="n">
        <v>32936134.00107988</v>
      </c>
      <c r="E57" s="2" t="n">
        <v>3593865.998920124</v>
      </c>
      <c r="F57" t="inlineStr"/>
      <c r="G57" s="2" t="n">
        <v>21246</v>
      </c>
      <c r="H57" s="3" t="n">
        <v>636.65</v>
      </c>
      <c r="I57" t="inlineStr"/>
      <c r="J57" s="3" t="n">
        <v>5.7575</v>
      </c>
      <c r="K57" s="3" t="n">
        <v>-4.993498049414824</v>
      </c>
      <c r="L57" s="3" t="n">
        <v>-6.981156975743619</v>
      </c>
      <c r="M57" t="inlineStr"/>
      <c r="N57" s="3" t="n">
        <v>0.9982886480319531</v>
      </c>
      <c r="O57" s="3" t="n">
        <v>34.68373175375503</v>
      </c>
      <c r="P57" s="3" t="n">
        <v>7.14</v>
      </c>
      <c r="Q57" s="3" t="n">
        <v>4.305424172099226</v>
      </c>
      <c r="R57" s="2" t="n">
        <v>4776680</v>
      </c>
      <c r="S57" s="3" t="n">
        <v>8.539999999999999</v>
      </c>
      <c r="T57" s="3" t="n">
        <v>18.24197041896156</v>
      </c>
      <c r="U57" s="2" t="n">
        <v>3673562</v>
      </c>
      <c r="V57" s="3" t="n">
        <v>5.62</v>
      </c>
      <c r="W57" s="3" t="n">
        <v>11.65316046599023</v>
      </c>
      <c r="X57" t="inlineStr"/>
    </row>
    <row r="58">
      <c r="A58" t="inlineStr">
        <is>
          <t>2014-09</t>
        </is>
      </c>
      <c r="B58" s="2" t="n">
        <v>35800000</v>
      </c>
      <c r="C58" s="2" t="n">
        <v>1210.5</v>
      </c>
      <c r="D58" s="2" t="n">
        <v>31007301.83098365</v>
      </c>
      <c r="E58" s="2" t="n">
        <v>4792698.169016346</v>
      </c>
      <c r="F58" t="inlineStr"/>
      <c r="G58" s="2" t="n">
        <v>21246</v>
      </c>
      <c r="H58" s="3" t="n">
        <v>598.8</v>
      </c>
      <c r="I58" t="inlineStr"/>
      <c r="J58" s="3" t="n">
        <v>5.7575</v>
      </c>
      <c r="K58" s="3" t="n">
        <v>-4.685835995740151</v>
      </c>
      <c r="L58" s="3" t="n">
        <v>-7.83382705733684</v>
      </c>
      <c r="M58" t="inlineStr"/>
      <c r="N58" s="3" t="n">
        <v>0.9982886480319531</v>
      </c>
      <c r="O58" s="3" t="n">
        <v>21.5516716399732</v>
      </c>
      <c r="P58" s="3" t="n">
        <v>7.14</v>
      </c>
      <c r="Q58" s="3" t="n">
        <v>3.624229040953431</v>
      </c>
      <c r="R58" s="2" t="n">
        <v>4847017</v>
      </c>
      <c r="S58" s="3" t="n">
        <v>10.14</v>
      </c>
      <c r="T58" s="3" t="n">
        <v>18.63962172524463</v>
      </c>
      <c r="U58" s="2" t="n">
        <v>3734181</v>
      </c>
      <c r="V58" s="3" t="n">
        <v>7.37</v>
      </c>
      <c r="W58" s="3" t="n">
        <v>13.0464339852157</v>
      </c>
      <c r="X58" s="3" t="n">
        <v>6.071534295889025</v>
      </c>
    </row>
    <row r="59">
      <c r="A59" t="inlineStr">
        <is>
          <t>2014-10</t>
        </is>
      </c>
      <c r="B59" s="2" t="n">
        <v>35410000</v>
      </c>
      <c r="C59" s="2" t="n">
        <v>1171.099975585938</v>
      </c>
      <c r="D59" s="2" t="n">
        <v>29998058.9981419</v>
      </c>
      <c r="E59" s="2" t="n">
        <v>5411941.0018581</v>
      </c>
      <c r="F59" t="inlineStr"/>
      <c r="G59" s="2" t="n">
        <v>21246</v>
      </c>
      <c r="H59" s="3" t="n">
        <v>600.84</v>
      </c>
      <c r="I59" t="inlineStr"/>
      <c r="J59" s="3" t="n">
        <v>5.7575</v>
      </c>
      <c r="K59" s="3" t="n">
        <v>-4.709364908503765</v>
      </c>
      <c r="L59" s="3" t="n">
        <v>-10.63833820518821</v>
      </c>
      <c r="M59" t="inlineStr"/>
      <c r="N59" s="3" t="n">
        <v>0.9982886480319531</v>
      </c>
      <c r="O59" s="3" t="n">
        <v>20.79371142518245</v>
      </c>
      <c r="P59" s="3" t="n">
        <v>7.14</v>
      </c>
      <c r="Q59" s="3" t="n">
        <v>3.232377045376245</v>
      </c>
      <c r="R59" s="2" t="n">
        <v>4887877</v>
      </c>
      <c r="S59" s="3" t="n">
        <v>11.07</v>
      </c>
      <c r="T59" s="3" t="n">
        <v>18.14271022039922</v>
      </c>
      <c r="U59" s="2" t="n">
        <v>3784769</v>
      </c>
      <c r="V59" s="3" t="n">
        <v>8.82</v>
      </c>
      <c r="W59" s="3" t="n">
        <v>14.14585997949103</v>
      </c>
      <c r="X59" t="inlineStr"/>
    </row>
    <row r="60">
      <c r="A60" t="inlineStr">
        <is>
          <t>2014-11</t>
        </is>
      </c>
      <c r="B60" s="2" t="n">
        <v>35080000</v>
      </c>
      <c r="C60" s="2" t="n">
        <v>1175.199951171875</v>
      </c>
      <c r="D60" s="2" t="n">
        <v>30103081.03902815</v>
      </c>
      <c r="E60" s="2" t="n">
        <v>4976918.960971847</v>
      </c>
      <c r="F60" t="inlineStr"/>
      <c r="G60" s="2" t="n">
        <v>21246</v>
      </c>
      <c r="H60" s="3" t="n">
        <v>566.58</v>
      </c>
      <c r="I60" t="inlineStr"/>
      <c r="J60" s="3" t="n">
        <v>5.7575</v>
      </c>
      <c r="K60" s="3" t="n">
        <v>-1.322081575246137</v>
      </c>
      <c r="L60" s="3" t="n">
        <v>-5.091007352691424</v>
      </c>
      <c r="M60" t="inlineStr"/>
      <c r="N60" s="3" t="n">
        <v>0.9982886480319531</v>
      </c>
      <c r="O60" s="3" t="n">
        <v>11.57981803143096</v>
      </c>
      <c r="P60" s="3" t="n">
        <v>7.14</v>
      </c>
      <c r="Q60" s="3" t="n">
        <v>2.604793330031563</v>
      </c>
      <c r="R60" s="2" t="n">
        <v>4973579</v>
      </c>
      <c r="S60" s="3" t="n">
        <v>13.02</v>
      </c>
      <c r="T60" s="3" t="n">
        <v>17.92162029580584</v>
      </c>
      <c r="U60" s="2" t="n">
        <v>3853337</v>
      </c>
      <c r="V60" s="3" t="n">
        <v>10.79</v>
      </c>
      <c r="W60" s="3" t="n">
        <v>15.20276129747711</v>
      </c>
      <c r="X60" t="inlineStr"/>
    </row>
    <row r="61">
      <c r="A61" t="inlineStr">
        <is>
          <t>2014-12</t>
        </is>
      </c>
      <c r="B61" s="2" t="n">
        <v>35130000</v>
      </c>
      <c r="C61" s="2" t="n">
        <v>1183.900024414062</v>
      </c>
      <c r="D61" s="2" t="n">
        <v>30325935.88989322</v>
      </c>
      <c r="E61" s="2" t="n">
        <v>4804064.110106785</v>
      </c>
      <c r="F61" t="inlineStr"/>
      <c r="G61" s="2" t="n">
        <v>21246</v>
      </c>
      <c r="H61" s="3" t="n">
        <v>545.63</v>
      </c>
      <c r="I61" t="inlineStr"/>
      <c r="J61" s="3" t="n">
        <v>5.7575</v>
      </c>
      <c r="K61" s="3" t="n">
        <v>1.006325474410574</v>
      </c>
      <c r="L61" s="3" t="n">
        <v>-0.5142907335608404</v>
      </c>
      <c r="M61" t="inlineStr"/>
      <c r="N61" s="3" t="n">
        <v>0.9982886480319531</v>
      </c>
      <c r="O61" s="3" t="n">
        <v>8.124764679071795</v>
      </c>
      <c r="P61" s="3" t="n">
        <v>7.14</v>
      </c>
      <c r="Q61" s="3" t="n">
        <v>1.839162099332925</v>
      </c>
      <c r="R61" s="2" t="n">
        <v>5179216</v>
      </c>
      <c r="S61" s="3" t="n">
        <v>17.69</v>
      </c>
      <c r="T61" s="3" t="n">
        <v>17.69094496956387</v>
      </c>
      <c r="U61" s="2" t="n">
        <v>3970548</v>
      </c>
      <c r="V61" s="3" t="n">
        <v>14.16</v>
      </c>
      <c r="W61" s="3" t="n">
        <v>14.15999999999999</v>
      </c>
      <c r="X61" s="3" t="n">
        <v>6.957644212321945</v>
      </c>
    </row>
    <row r="62">
      <c r="A62" t="inlineStr">
        <is>
          <t>2015-01</t>
        </is>
      </c>
      <c r="B62" s="2" t="n">
        <v>35430000</v>
      </c>
      <c r="C62" s="2" t="n">
        <v>1278.5</v>
      </c>
      <c r="D62" s="2" t="n">
        <v>40585752.00540132</v>
      </c>
      <c r="E62" s="2" t="n">
        <v>-5155752.005401321</v>
      </c>
      <c r="F62" s="2" t="n">
        <v>26330</v>
      </c>
      <c r="G62" s="2" t="n">
        <v>21458</v>
      </c>
      <c r="H62" s="3" t="n">
        <v>576.0700000000001</v>
      </c>
      <c r="I62" t="inlineStr"/>
      <c r="J62" s="3" t="n">
        <v>4.7475</v>
      </c>
      <c r="K62" s="3" t="n">
        <v>0.1979638009049767</v>
      </c>
      <c r="L62" s="3" t="n">
        <v>29.04219161615638</v>
      </c>
      <c r="M62" t="inlineStr"/>
      <c r="N62" s="3" t="n">
        <v>2.006084806997532</v>
      </c>
      <c r="O62" s="3" t="n">
        <v>3.51290160281752</v>
      </c>
      <c r="P62" s="3" t="n">
        <v>5.7575</v>
      </c>
      <c r="Q62" s="3" t="n">
        <v>0.9390046430968857</v>
      </c>
      <c r="R62" s="2" t="n">
        <v>5192194</v>
      </c>
      <c r="S62" s="3" t="n">
        <v>0.25</v>
      </c>
      <c r="T62" s="3" t="n">
        <v>15.53150964135839</v>
      </c>
      <c r="U62" s="2" t="n">
        <v>3971912</v>
      </c>
      <c r="V62" s="3" t="n">
        <v>0.03</v>
      </c>
      <c r="W62" s="3" t="n">
        <v>14.76808844221105</v>
      </c>
      <c r="X62" t="inlineStr"/>
    </row>
    <row r="63">
      <c r="A63" t="inlineStr">
        <is>
          <t>2015-02</t>
        </is>
      </c>
      <c r="B63" s="2" t="n">
        <v>35650000</v>
      </c>
      <c r="C63" s="2" t="n">
        <v>1212.599975585938</v>
      </c>
      <c r="D63" s="2" t="n">
        <v>31264307.64773894</v>
      </c>
      <c r="E63" s="2" t="n">
        <v>4385692.352261055</v>
      </c>
      <c r="F63" s="2" t="n">
        <v>21385</v>
      </c>
      <c r="G63" s="2" t="n">
        <v>21458</v>
      </c>
      <c r="H63" s="3" t="n">
        <v>592.5700000000001</v>
      </c>
      <c r="I63" t="inlineStr"/>
      <c r="J63" s="3" t="n">
        <v>4.7475</v>
      </c>
      <c r="K63" s="3" t="n">
        <v>-1.437655515620684</v>
      </c>
      <c r="L63" s="3" t="n">
        <v>-6.711236420217014</v>
      </c>
      <c r="M63" t="inlineStr"/>
      <c r="N63" s="3" t="n">
        <v>2.006084806997532</v>
      </c>
      <c r="O63" s="3" t="n">
        <v>1.038398581366806</v>
      </c>
      <c r="P63" s="3" t="n">
        <v>5.7575</v>
      </c>
      <c r="Q63" s="3" t="n">
        <v>0.3366833821733195</v>
      </c>
      <c r="R63" s="2" t="n">
        <v>5308012</v>
      </c>
      <c r="S63" s="3" t="n">
        <v>2.49</v>
      </c>
      <c r="T63" s="3" t="n">
        <v>18.59865327824661</v>
      </c>
      <c r="U63" s="2" t="n">
        <v>3996271</v>
      </c>
      <c r="V63" s="3" t="n">
        <v>0.65</v>
      </c>
      <c r="W63" s="3" t="n">
        <v>16.25054633751517</v>
      </c>
      <c r="X63" t="inlineStr"/>
    </row>
    <row r="64">
      <c r="A64" t="inlineStr">
        <is>
          <t>2015-03</t>
        </is>
      </c>
      <c r="B64" s="2" t="n">
        <v>35170000</v>
      </c>
      <c r="C64" s="2" t="n">
        <v>1183.099975585938</v>
      </c>
      <c r="D64" s="2" t="n">
        <v>30767598.26875032</v>
      </c>
      <c r="E64" s="2" t="n">
        <v>4402401.731249679</v>
      </c>
      <c r="F64" s="2" t="n">
        <v>21570</v>
      </c>
      <c r="G64" s="2" t="n">
        <v>21458</v>
      </c>
      <c r="H64" s="3" t="n">
        <v>551.13</v>
      </c>
      <c r="I64" t="inlineStr"/>
      <c r="J64" s="3" t="n">
        <v>4.7475</v>
      </c>
      <c r="K64" s="3" t="n">
        <v>-1.06891701828411</v>
      </c>
      <c r="L64" s="3" t="n">
        <v>-5.47506548976735</v>
      </c>
      <c r="M64" t="inlineStr"/>
      <c r="N64" s="3" t="n">
        <v>2.006084806997532</v>
      </c>
      <c r="O64" s="3" t="n">
        <v>-6.836046452659883</v>
      </c>
      <c r="P64" s="3" t="n">
        <v>5.7575</v>
      </c>
      <c r="Q64" s="3" t="n">
        <v>0.9312860659367539</v>
      </c>
      <c r="R64" s="2" t="n">
        <v>5300817</v>
      </c>
      <c r="S64" s="3" t="n">
        <v>2.35</v>
      </c>
      <c r="T64" s="3" t="n">
        <v>17.1481043164633</v>
      </c>
      <c r="U64" s="2" t="n">
        <v>4075612</v>
      </c>
      <c r="V64" s="3" t="n">
        <v>2.65</v>
      </c>
      <c r="W64" s="3" t="n">
        <v>16.57902904894546</v>
      </c>
      <c r="X64" s="3" t="n">
        <v>6.121524291742531</v>
      </c>
    </row>
    <row r="65">
      <c r="A65" t="inlineStr">
        <is>
          <t>2015-04</t>
        </is>
      </c>
      <c r="B65" s="2" t="n">
        <v>35070000</v>
      </c>
      <c r="C65" s="2" t="n">
        <v>1182.400024414062</v>
      </c>
      <c r="D65" s="2" t="n">
        <v>30834929.18169518</v>
      </c>
      <c r="E65" s="2" t="n">
        <v>4235070.818304818</v>
      </c>
      <c r="F65" s="2" t="n">
        <v>21630</v>
      </c>
      <c r="G65" s="2" t="n">
        <v>21458</v>
      </c>
      <c r="H65" s="3" t="n">
        <v>562.4</v>
      </c>
      <c r="I65" t="inlineStr"/>
      <c r="J65" s="3" t="n">
        <v>4.7475</v>
      </c>
      <c r="K65" s="3" t="n">
        <v>-1.099830795262269</v>
      </c>
      <c r="L65" s="3" t="n">
        <v>-6.160246961291593</v>
      </c>
      <c r="M65" t="inlineStr"/>
      <c r="N65" s="3" t="n">
        <v>2.006084806997532</v>
      </c>
      <c r="O65" s="3" t="n">
        <v>-2.698961937716271</v>
      </c>
      <c r="P65" s="3" t="n">
        <v>5.7575</v>
      </c>
      <c r="Q65" s="3" t="n">
        <v>0.9917964292856407</v>
      </c>
      <c r="R65" s="2" t="n">
        <v>5328232</v>
      </c>
      <c r="S65" s="3" t="n">
        <v>2.88</v>
      </c>
      <c r="T65" s="3" t="n">
        <v>16.71793299087634</v>
      </c>
      <c r="U65" s="2" t="n">
        <v>4128770</v>
      </c>
      <c r="V65" s="3" t="n">
        <v>3.98</v>
      </c>
      <c r="W65" s="3" t="n">
        <v>17.03003845016266</v>
      </c>
      <c r="X65" t="inlineStr"/>
    </row>
    <row r="66">
      <c r="A66" t="inlineStr">
        <is>
          <t>2015-05</t>
        </is>
      </c>
      <c r="B66" s="2" t="n">
        <v>34950000</v>
      </c>
      <c r="C66" s="2" t="n">
        <v>1189.400024414062</v>
      </c>
      <c r="D66" s="2" t="n">
        <v>31318617.51877174</v>
      </c>
      <c r="E66" s="2" t="n">
        <v>3631382.481228258</v>
      </c>
      <c r="F66" s="2" t="n">
        <v>21840</v>
      </c>
      <c r="G66" s="2" t="n">
        <v>21673</v>
      </c>
      <c r="H66" s="3" t="n">
        <v>569.5599999999999</v>
      </c>
      <c r="I66" t="inlineStr"/>
      <c r="J66" s="3" t="n">
        <v>4.7475</v>
      </c>
      <c r="K66" s="3" t="n">
        <v>-4.141524958859022</v>
      </c>
      <c r="L66" s="3" t="n">
        <v>-0.8623034490466863</v>
      </c>
      <c r="M66" t="inlineStr"/>
      <c r="N66" s="3" t="n">
        <v>3.028142232363562</v>
      </c>
      <c r="O66" s="3" t="n">
        <v>1.341589267285848</v>
      </c>
      <c r="P66" s="3" t="n">
        <v>5.7575</v>
      </c>
      <c r="Q66" s="3" t="n">
        <v>0.9514803428867902</v>
      </c>
      <c r="R66" s="2" t="n">
        <v>5376435</v>
      </c>
      <c r="S66" s="3" t="n">
        <v>3.81</v>
      </c>
      <c r="T66" s="3" t="n">
        <v>16.66534662059163</v>
      </c>
      <c r="U66" s="2" t="n">
        <v>4177852</v>
      </c>
      <c r="V66" s="3" t="n">
        <v>5.22</v>
      </c>
      <c r="W66" s="3" t="n">
        <v>18.32067769897556</v>
      </c>
      <c r="X66" t="inlineStr"/>
    </row>
    <row r="67">
      <c r="A67" t="inlineStr">
        <is>
          <t>2015-06</t>
        </is>
      </c>
      <c r="B67" s="2" t="n">
        <v>34460000</v>
      </c>
      <c r="C67" s="2" t="n">
        <v>1171.5</v>
      </c>
      <c r="D67" s="2" t="n">
        <v>30847284.06770942</v>
      </c>
      <c r="E67" s="2" t="n">
        <v>3612715.932290576</v>
      </c>
      <c r="F67" s="2" t="n">
        <v>21840</v>
      </c>
      <c r="G67" s="2" t="n">
        <v>21673</v>
      </c>
      <c r="H67" s="3" t="n">
        <v>593.05</v>
      </c>
      <c r="I67" t="inlineStr"/>
      <c r="J67" s="3" t="n">
        <v>4.7475</v>
      </c>
      <c r="K67" s="3" t="n">
        <v>-6.409560021727323</v>
      </c>
      <c r="L67" s="3" t="n">
        <v>-8.892949661090165</v>
      </c>
      <c r="M67" t="inlineStr"/>
      <c r="N67" s="3" t="n">
        <v>2.009790078132356</v>
      </c>
      <c r="O67" s="3" t="n">
        <v>2.580734436891352</v>
      </c>
      <c r="P67" s="3" t="n">
        <v>5.7575</v>
      </c>
      <c r="Q67" s="3" t="n">
        <v>1.00180510876049</v>
      </c>
      <c r="R67" s="2" t="n">
        <v>5492731</v>
      </c>
      <c r="S67" s="3" t="n">
        <v>10.04</v>
      </c>
      <c r="T67" s="3" t="n">
        <v>16.66062414472829</v>
      </c>
      <c r="U67" s="2" t="n">
        <v>4282604</v>
      </c>
      <c r="V67" s="3" t="n">
        <v>7.86</v>
      </c>
      <c r="W67" s="3" t="n">
        <v>18.71671423062091</v>
      </c>
      <c r="X67" s="3" t="n">
        <v>6.470868101732785</v>
      </c>
    </row>
    <row r="68">
      <c r="A68" t="inlineStr">
        <is>
          <t>2015-07</t>
        </is>
      </c>
      <c r="B68" s="2" t="n">
        <v>33040000</v>
      </c>
      <c r="C68" s="2" t="n">
        <v>1094.900024414062</v>
      </c>
      <c r="D68" s="2" t="n">
        <v>28830296.26875165</v>
      </c>
      <c r="E68" s="2" t="n">
        <v>4209703.731248353</v>
      </c>
      <c r="F68" s="2" t="n">
        <v>21840</v>
      </c>
      <c r="G68" s="2" t="n">
        <v>21673</v>
      </c>
      <c r="H68" s="3" t="n">
        <v>621.0599999999999</v>
      </c>
      <c r="I68" t="inlineStr"/>
      <c r="J68" s="3" t="n">
        <v>4.7475</v>
      </c>
      <c r="K68" s="3" t="n">
        <v>-9.948214772417552</v>
      </c>
      <c r="L68" s="3" t="n">
        <v>-12.15863422677028</v>
      </c>
      <c r="M68" t="inlineStr"/>
      <c r="N68" s="3" t="n">
        <v>2.009790078132356</v>
      </c>
      <c r="O68" s="3" t="n">
        <v>4.192460617041616</v>
      </c>
      <c r="P68" s="3" t="n">
        <v>5.7575</v>
      </c>
      <c r="Q68" s="3" t="n">
        <v>0.9010350747299833</v>
      </c>
      <c r="R68" s="2" t="n">
        <v>5505640</v>
      </c>
      <c r="S68" s="3" t="n">
        <v>6.3</v>
      </c>
      <c r="T68" s="3" t="n">
        <v>17.09334306551957</v>
      </c>
      <c r="U68" s="2" t="n">
        <v>4312496</v>
      </c>
      <c r="V68" s="3" t="n">
        <v>8.609999999999999</v>
      </c>
      <c r="W68" s="3" t="n">
        <v>17.39175913652717</v>
      </c>
      <c r="X68" t="inlineStr"/>
    </row>
    <row r="69">
      <c r="A69" t="inlineStr">
        <is>
          <t>2015-08</t>
        </is>
      </c>
      <c r="B69" s="2" t="n">
        <v>34400000</v>
      </c>
      <c r="C69" s="2" t="n">
        <v>1131.599975585938</v>
      </c>
      <c r="D69" s="2" t="n">
        <v>30683464.22138314</v>
      </c>
      <c r="E69" s="2" t="n">
        <v>3716535.778616861</v>
      </c>
      <c r="F69" s="2" t="n">
        <v>22490</v>
      </c>
      <c r="G69" s="2" t="n">
        <v>21890</v>
      </c>
      <c r="H69" s="3" t="n">
        <v>564.75</v>
      </c>
      <c r="I69" t="inlineStr"/>
      <c r="J69" s="3" t="n">
        <v>4.7475</v>
      </c>
      <c r="K69" s="3" t="n">
        <v>-5.830823980290168</v>
      </c>
      <c r="L69" s="3" t="n">
        <v>-6.839508788805871</v>
      </c>
      <c r="M69" t="inlineStr"/>
      <c r="N69" s="3" t="n">
        <v>3.031158806363554</v>
      </c>
      <c r="O69" s="3" t="n">
        <v>-11.29348935836017</v>
      </c>
      <c r="P69" s="3" t="n">
        <v>5.7575</v>
      </c>
      <c r="Q69" s="3" t="n">
        <v>0.6090644084790542</v>
      </c>
      <c r="R69" s="2" t="n">
        <v>5591611</v>
      </c>
      <c r="S69" s="3" t="n">
        <v>7.96</v>
      </c>
      <c r="T69" s="3" t="n">
        <v>17.0606153227765</v>
      </c>
      <c r="U69" s="2" t="n">
        <v>4376026</v>
      </c>
      <c r="V69" s="3" t="n">
        <v>10.21</v>
      </c>
      <c r="W69" s="3" t="n">
        <v>19.12112857413369</v>
      </c>
      <c r="X69" t="inlineStr"/>
    </row>
    <row r="70">
      <c r="A70" t="inlineStr">
        <is>
          <t>2015-09</t>
        </is>
      </c>
      <c r="B70" s="2" t="n">
        <v>33900000</v>
      </c>
      <c r="C70" s="2" t="n">
        <v>1115.5</v>
      </c>
      <c r="D70" s="2" t="n">
        <v>30273809.6194962</v>
      </c>
      <c r="E70" s="2" t="n">
        <v>3626190.3805038</v>
      </c>
      <c r="F70" s="2" t="n">
        <v>22510</v>
      </c>
      <c r="G70" s="2" t="n">
        <v>21890</v>
      </c>
      <c r="H70" s="3" t="n">
        <v>562.64</v>
      </c>
      <c r="I70" t="inlineStr"/>
      <c r="J70" s="3" t="n">
        <v>4.7475</v>
      </c>
      <c r="K70" s="3" t="n">
        <v>-5.307262569832405</v>
      </c>
      <c r="L70" s="3" t="n">
        <v>-2.36554672020679</v>
      </c>
      <c r="M70" t="inlineStr"/>
      <c r="N70" s="3" t="n">
        <v>3.031158806363554</v>
      </c>
      <c r="O70" s="3" t="n">
        <v>-6.038744154976616</v>
      </c>
      <c r="P70" s="3" t="n">
        <v>5.7575</v>
      </c>
      <c r="Q70" s="3" t="n">
        <v>-0.002205803564503395</v>
      </c>
      <c r="R70" s="2" t="n">
        <v>5695769</v>
      </c>
      <c r="S70" s="3" t="n">
        <v>9.970000000000001</v>
      </c>
      <c r="T70" s="3" t="n">
        <v>17.51081128867506</v>
      </c>
      <c r="U70" s="2" t="n">
        <v>4451893</v>
      </c>
      <c r="V70" s="3" t="n">
        <v>12.12</v>
      </c>
      <c r="W70" s="3" t="n">
        <v>19.21038651392379</v>
      </c>
      <c r="X70" s="3" t="n">
        <v>6.87446973189878</v>
      </c>
    </row>
    <row r="71">
      <c r="A71" t="inlineStr">
        <is>
          <t>2015-10</t>
        </is>
      </c>
      <c r="B71" s="2" t="n">
        <v>33790000</v>
      </c>
      <c r="C71" s="2" t="n">
        <v>1141.5</v>
      </c>
      <c r="D71" s="2" t="n">
        <v>30752348.00745897</v>
      </c>
      <c r="E71" s="2" t="n">
        <v>3037651.99254103</v>
      </c>
      <c r="F71" s="2" t="n">
        <v>22345</v>
      </c>
      <c r="G71" s="2" t="n">
        <v>21890</v>
      </c>
      <c r="H71" s="3" t="n">
        <v>607.37</v>
      </c>
      <c r="I71" t="inlineStr"/>
      <c r="J71" s="3" t="n">
        <v>4.7475</v>
      </c>
      <c r="K71" s="3" t="n">
        <v>-4.574978819542497</v>
      </c>
      <c r="L71" s="3" t="n">
        <v>2.514459383401402</v>
      </c>
      <c r="M71" t="inlineStr"/>
      <c r="N71" s="3" t="n">
        <v>3.031158806363554</v>
      </c>
      <c r="O71" s="3" t="n">
        <v>1.086811796817777</v>
      </c>
      <c r="P71" s="3" t="n">
        <v>5.7575</v>
      </c>
      <c r="Q71" s="3" t="n">
        <v>-0.002205803564470088</v>
      </c>
      <c r="R71" s="2" t="n">
        <v>5722963</v>
      </c>
      <c r="S71" s="3" t="n">
        <v>10.5</v>
      </c>
      <c r="T71" s="3" t="n">
        <v>17.08484071919159</v>
      </c>
      <c r="U71" s="2" t="n">
        <v>4502229</v>
      </c>
      <c r="V71" s="3" t="n">
        <v>13.39</v>
      </c>
      <c r="W71" s="3" t="n">
        <v>18.95425840838081</v>
      </c>
      <c r="X71" t="inlineStr"/>
    </row>
    <row r="72">
      <c r="A72" t="inlineStr">
        <is>
          <t>2015-11</t>
        </is>
      </c>
      <c r="B72" s="2" t="n">
        <v>33080000</v>
      </c>
      <c r="C72" s="2" t="n">
        <v>1065.800048828125</v>
      </c>
      <c r="D72" s="2" t="n">
        <v>28937841.1186957</v>
      </c>
      <c r="E72" s="2" t="n">
        <v>4142158.881304301</v>
      </c>
      <c r="F72" s="2" t="n">
        <v>22520</v>
      </c>
      <c r="G72" s="2" t="n">
        <v>21890</v>
      </c>
      <c r="H72" s="3" t="n">
        <v>573.2</v>
      </c>
      <c r="I72" t="inlineStr"/>
      <c r="J72" s="3" t="n">
        <v>4.7475</v>
      </c>
      <c r="K72" s="3" t="n">
        <v>-5.701254275940704</v>
      </c>
      <c r="L72" s="3" t="n">
        <v>-3.87083275237422</v>
      </c>
      <c r="M72" t="inlineStr"/>
      <c r="N72" s="3" t="n">
        <v>3.031158806363554</v>
      </c>
      <c r="O72" s="3" t="n">
        <v>1.16841399272829</v>
      </c>
      <c r="P72" s="3" t="n">
        <v>5.7575</v>
      </c>
      <c r="Q72" s="3" t="n">
        <v>0.3389076987481143</v>
      </c>
      <c r="R72" s="2" t="n">
        <v>5809442</v>
      </c>
      <c r="S72" s="3" t="n">
        <v>12.17</v>
      </c>
      <c r="T72" s="3" t="n">
        <v>16.80606661721871</v>
      </c>
      <c r="U72" s="2" t="n">
        <v>4586430</v>
      </c>
      <c r="V72" s="3" t="n">
        <v>15.51</v>
      </c>
      <c r="W72" s="3" t="n">
        <v>19.02357252459608</v>
      </c>
      <c r="X72" t="inlineStr"/>
    </row>
    <row r="73">
      <c r="A73" t="inlineStr">
        <is>
          <t>2015-12</t>
        </is>
      </c>
      <c r="B73" s="2" t="n">
        <v>32700000</v>
      </c>
      <c r="C73" s="2" t="n">
        <v>1060.300048828125</v>
      </c>
      <c r="D73" s="2" t="n">
        <v>28762941.99041042</v>
      </c>
      <c r="E73" s="2" t="n">
        <v>3937058.009589579</v>
      </c>
      <c r="F73" s="2" t="n">
        <v>22500</v>
      </c>
      <c r="G73" s="2" t="n">
        <v>21890</v>
      </c>
      <c r="H73" s="3" t="n">
        <v>579.03</v>
      </c>
      <c r="I73" t="inlineStr"/>
      <c r="J73" s="3" t="n">
        <v>4.7475</v>
      </c>
      <c r="K73" s="3" t="n">
        <v>-6.917164816396237</v>
      </c>
      <c r="L73" s="3" t="n">
        <v>-5.153984052323002</v>
      </c>
      <c r="M73" t="inlineStr"/>
      <c r="N73" s="3" t="n">
        <v>3.031158806363554</v>
      </c>
      <c r="O73" s="3" t="n">
        <v>6.121364294485265</v>
      </c>
      <c r="P73" s="3" t="n">
        <v>5.7575</v>
      </c>
      <c r="Q73" s="3" t="n">
        <v>0.5970973299256332</v>
      </c>
      <c r="R73" s="2" t="n">
        <v>6019609</v>
      </c>
      <c r="S73" s="3" t="n">
        <v>16.23</v>
      </c>
      <c r="T73" s="3" t="n">
        <v>16.2262589550233</v>
      </c>
      <c r="U73" s="2" t="n">
        <v>4655890</v>
      </c>
      <c r="V73" s="3" t="n">
        <v>17.26</v>
      </c>
      <c r="W73" s="3" t="n">
        <v>17.26000000000001</v>
      </c>
      <c r="X73" s="3" t="n">
        <v>7.008291742576467</v>
      </c>
    </row>
    <row r="74">
      <c r="A74" t="inlineStr">
        <is>
          <t>2016-01</t>
        </is>
      </c>
      <c r="B74" s="2" t="n">
        <v>32920000</v>
      </c>
      <c r="C74" s="2" t="n">
        <v>1116.400024414062</v>
      </c>
      <c r="D74" s="2" t="n">
        <v>35439917.5046485</v>
      </c>
      <c r="E74" s="2" t="n">
        <v>-2519917.504648499</v>
      </c>
      <c r="F74" s="2" t="n">
        <v>26330</v>
      </c>
      <c r="G74" s="2" t="n">
        <v>21881</v>
      </c>
      <c r="H74" s="3" t="n">
        <v>545.25</v>
      </c>
      <c r="I74" s="3" t="n">
        <v>6.2</v>
      </c>
      <c r="J74" s="3" t="n">
        <v>5.035</v>
      </c>
      <c r="K74" s="3" t="n">
        <v>-7.084391758396835</v>
      </c>
      <c r="L74" s="3" t="n">
        <v>-12.67891870050355</v>
      </c>
      <c r="M74" s="3" t="n">
        <v>0</v>
      </c>
      <c r="N74" s="3" t="n">
        <v>1.971292757945764</v>
      </c>
      <c r="O74" s="3" t="n">
        <v>-5.350044265453857</v>
      </c>
      <c r="P74" s="3" t="n">
        <v>4.7475</v>
      </c>
      <c r="Q74" s="3" t="n">
        <v>0.7968803428594073</v>
      </c>
      <c r="R74" s="2" t="n">
        <v>6107942</v>
      </c>
      <c r="S74" s="3" t="n">
        <v>1.47</v>
      </c>
      <c r="T74" s="3" t="n">
        <v>17.63701433343978</v>
      </c>
      <c r="U74" s="2" t="n">
        <v>4691374</v>
      </c>
      <c r="V74" s="3" t="n">
        <v>0.76</v>
      </c>
      <c r="W74" s="3" t="n">
        <v>18.11574127761675</v>
      </c>
      <c r="X74" t="inlineStr"/>
    </row>
    <row r="75">
      <c r="A75" t="inlineStr">
        <is>
          <t>2016-02</t>
        </is>
      </c>
      <c r="B75" s="2" t="n">
        <v>33590000</v>
      </c>
      <c r="C75" s="2" t="n">
        <v>1233.900024414062</v>
      </c>
      <c r="D75" s="2" t="n">
        <v>33249070.29633436</v>
      </c>
      <c r="E75" s="2" t="n">
        <v>340929.7036656402</v>
      </c>
      <c r="F75" s="2" t="n">
        <v>22350</v>
      </c>
      <c r="G75" s="2" t="n">
        <v>21914</v>
      </c>
      <c r="H75" s="3" t="n">
        <v>559</v>
      </c>
      <c r="I75" s="3" t="n">
        <v>6.2</v>
      </c>
      <c r="J75" s="3" t="n">
        <v>5.035</v>
      </c>
      <c r="K75" s="3" t="n">
        <v>-5.778401122019639</v>
      </c>
      <c r="L75" s="3" t="n">
        <v>6.348333924288752</v>
      </c>
      <c r="M75" s="3" t="n">
        <v>4.512508767827916</v>
      </c>
      <c r="N75" s="3" t="n">
        <v>2.125081554664932</v>
      </c>
      <c r="O75" s="3" t="n">
        <v>-5.665153483976582</v>
      </c>
      <c r="P75" s="3" t="n">
        <v>4.7475</v>
      </c>
      <c r="Q75" s="3" t="n">
        <v>1.270055893203215</v>
      </c>
      <c r="R75" s="2" t="n">
        <v>6138610</v>
      </c>
      <c r="S75" s="3" t="n">
        <v>1.98</v>
      </c>
      <c r="T75" s="3" t="n">
        <v>15.64800531724495</v>
      </c>
      <c r="U75" s="2" t="n">
        <v>4686152</v>
      </c>
      <c r="V75" s="3" t="n">
        <v>0.65</v>
      </c>
      <c r="W75" s="3" t="n">
        <v>17.26000000000001</v>
      </c>
      <c r="X75" t="inlineStr"/>
    </row>
    <row r="76">
      <c r="A76" t="inlineStr">
        <is>
          <t>2016-03</t>
        </is>
      </c>
      <c r="B76" s="2" t="n">
        <v>33340000</v>
      </c>
      <c r="C76" s="2" t="n">
        <v>1234.199951171875</v>
      </c>
      <c r="D76" s="2" t="n">
        <v>33219951.82605508</v>
      </c>
      <c r="E76" s="2" t="n">
        <v>120048.1739449203</v>
      </c>
      <c r="F76" s="2" t="n">
        <v>22325</v>
      </c>
      <c r="G76" s="2" t="n">
        <v>21857</v>
      </c>
      <c r="H76" s="3" t="n">
        <v>561</v>
      </c>
      <c r="I76" s="3" t="n">
        <v>6.2</v>
      </c>
      <c r="J76" s="3" t="n">
        <v>5.035</v>
      </c>
      <c r="K76" s="3" t="n">
        <v>-5.203298265567247</v>
      </c>
      <c r="L76" s="3" t="n">
        <v>7.970571950022953</v>
      </c>
      <c r="M76" s="3" t="n">
        <v>3.500231803430687</v>
      </c>
      <c r="N76" s="3" t="n">
        <v>1.859446360331818</v>
      </c>
      <c r="O76" s="3" t="n">
        <v>1.790866038865602</v>
      </c>
      <c r="P76" s="3" t="n">
        <v>4.7475</v>
      </c>
      <c r="Q76" s="3" t="n">
        <v>1.694247490279532</v>
      </c>
      <c r="R76" s="2" t="n">
        <v>6267958</v>
      </c>
      <c r="S76" s="3" t="n">
        <v>4.13</v>
      </c>
      <c r="T76" s="3" t="n">
        <v>18.24513089208701</v>
      </c>
      <c r="U76" s="2" t="n">
        <v>4797202</v>
      </c>
      <c r="V76" s="3" t="n">
        <v>3.04</v>
      </c>
      <c r="W76" s="3" t="n">
        <v>17.705508037019</v>
      </c>
      <c r="X76" s="3" t="n">
        <v>5.48117509451298</v>
      </c>
    </row>
    <row r="77">
      <c r="A77" t="inlineStr">
        <is>
          <t>2016-04</t>
        </is>
      </c>
      <c r="B77" s="2" t="n">
        <v>34350000</v>
      </c>
      <c r="C77" s="2" t="n">
        <v>1289.199951171875</v>
      </c>
      <c r="D77" s="2" t="n">
        <v>34692570.26157376</v>
      </c>
      <c r="E77" s="2" t="n">
        <v>-342570.2615737617</v>
      </c>
      <c r="F77" s="2" t="n">
        <v>22320</v>
      </c>
      <c r="G77" s="2" t="n">
        <v>21842</v>
      </c>
      <c r="H77" s="3" t="n">
        <v>598.37</v>
      </c>
      <c r="I77" s="3" t="n">
        <v>6.13</v>
      </c>
      <c r="J77" s="3" t="n">
        <v>5.035</v>
      </c>
      <c r="K77" s="3" t="n">
        <v>-2.053036783575701</v>
      </c>
      <c r="L77" s="3" t="n">
        <v>12.51062085191565</v>
      </c>
      <c r="M77" s="3" t="n">
        <v>3.190013869625519</v>
      </c>
      <c r="N77" s="3" t="n">
        <v>1.789542361823093</v>
      </c>
      <c r="O77" s="3" t="n">
        <v>6.395803698435287</v>
      </c>
      <c r="P77" s="3" t="n">
        <v>4.7475</v>
      </c>
      <c r="Q77" s="3" t="n">
        <v>1.892070931572798</v>
      </c>
      <c r="R77" s="2" t="n">
        <v>6326334</v>
      </c>
      <c r="S77" s="3" t="n">
        <v>5.1</v>
      </c>
      <c r="T77" s="3" t="n">
        <v>18.73232997361978</v>
      </c>
      <c r="U77" s="2" t="n">
        <v>4845059</v>
      </c>
      <c r="V77" s="3" t="n">
        <v>4.06</v>
      </c>
      <c r="W77" s="3" t="n">
        <v>17.35021734949027</v>
      </c>
      <c r="X77" t="inlineStr"/>
    </row>
    <row r="78">
      <c r="A78" t="inlineStr">
        <is>
          <t>2016-05</t>
        </is>
      </c>
      <c r="B78" s="2" t="n">
        <v>33350000</v>
      </c>
      <c r="C78" s="2" t="n">
        <v>1214.800048828125</v>
      </c>
      <c r="D78" s="2" t="n">
        <v>32880858.78139688</v>
      </c>
      <c r="E78" s="2" t="n">
        <v>469141.218603123</v>
      </c>
      <c r="F78" s="2" t="n">
        <v>22450</v>
      </c>
      <c r="G78" s="2" t="n">
        <v>21939</v>
      </c>
      <c r="H78" s="3" t="n">
        <v>618</v>
      </c>
      <c r="I78" s="3" t="n">
        <v>6.125</v>
      </c>
      <c r="J78" s="3" t="n">
        <v>5.035</v>
      </c>
      <c r="K78" s="3" t="n">
        <v>-4.57796852646638</v>
      </c>
      <c r="L78" s="3" t="n">
        <v>4.98821910542111</v>
      </c>
      <c r="M78" s="3" t="n">
        <v>2.793040293040283</v>
      </c>
      <c r="N78" s="3" t="n">
        <v>1.227333548655007</v>
      </c>
      <c r="O78" s="3" t="n">
        <v>8.504810731090684</v>
      </c>
      <c r="P78" s="3" t="n">
        <v>4.7475</v>
      </c>
      <c r="Q78" s="3" t="n">
        <v>2.279456121376611</v>
      </c>
      <c r="R78" s="2" t="n">
        <v>6427397</v>
      </c>
      <c r="S78" s="3" t="n">
        <v>6.77</v>
      </c>
      <c r="T78" s="3" t="n">
        <v>19.54756265071558</v>
      </c>
      <c r="U78" s="2" t="n">
        <v>4911308</v>
      </c>
      <c r="V78" s="3" t="n">
        <v>5.49</v>
      </c>
      <c r="W78" s="3" t="n">
        <v>17.56089526705951</v>
      </c>
      <c r="X78" t="inlineStr"/>
    </row>
    <row r="79">
      <c r="A79" t="inlineStr">
        <is>
          <t>2016-06</t>
        </is>
      </c>
      <c r="B79" s="2" t="n">
        <v>35220000</v>
      </c>
      <c r="C79" s="2" t="n">
        <v>1318.400024414062</v>
      </c>
      <c r="D79" s="2" t="n">
        <v>35518087.04671365</v>
      </c>
      <c r="E79" s="2" t="n">
        <v>-298087.0467136502</v>
      </c>
      <c r="F79" s="2" t="n">
        <v>22345</v>
      </c>
      <c r="G79" s="2" t="n">
        <v>21873</v>
      </c>
      <c r="H79" s="3" t="n">
        <v>632</v>
      </c>
      <c r="I79" s="3" t="n">
        <v>6.233333333333333</v>
      </c>
      <c r="J79" s="3" t="n">
        <v>5.035</v>
      </c>
      <c r="K79" s="3" t="n">
        <v>2.205455600696449</v>
      </c>
      <c r="L79" s="3" t="n">
        <v>15.141699245716</v>
      </c>
      <c r="M79" s="3" t="n">
        <v>2.312271062271054</v>
      </c>
      <c r="N79" s="3" t="n">
        <v>0.9228071794398662</v>
      </c>
      <c r="O79" s="3" t="n">
        <v>6.567743023353856</v>
      </c>
      <c r="P79" s="3" t="n">
        <v>4.7475</v>
      </c>
      <c r="Q79" s="3" t="n">
        <v>2.396157643308738</v>
      </c>
      <c r="R79" s="2" t="n">
        <v>6592394</v>
      </c>
      <c r="S79" s="3" t="n">
        <v>9.52</v>
      </c>
      <c r="T79" s="3" t="n">
        <v>20.0203323264875</v>
      </c>
      <c r="U79" s="2" t="n">
        <v>5037936</v>
      </c>
      <c r="V79" s="3" t="n">
        <v>8.210000000000001</v>
      </c>
      <c r="W79" s="3" t="n">
        <v>17.64050250324498</v>
      </c>
      <c r="X79" s="3" t="n">
        <v>5.776206418629015</v>
      </c>
    </row>
    <row r="80">
      <c r="A80" t="inlineStr">
        <is>
          <t>2016-07</t>
        </is>
      </c>
      <c r="B80" s="2" t="n">
        <v>36750000</v>
      </c>
      <c r="C80" s="2" t="n">
        <v>1349</v>
      </c>
      <c r="D80" s="2" t="n">
        <v>36318063.07971772</v>
      </c>
      <c r="E80" s="2" t="n">
        <v>431936.9202822819</v>
      </c>
      <c r="F80" s="2" t="n">
        <v>22330</v>
      </c>
      <c r="G80" s="2" t="n">
        <v>21862</v>
      </c>
      <c r="H80" s="3" t="n">
        <v>652.23</v>
      </c>
      <c r="I80" s="3" t="n">
        <v>6.261290322580645</v>
      </c>
      <c r="J80" s="3" t="n">
        <v>5.035</v>
      </c>
      <c r="K80" s="3" t="n">
        <v>11.22881355932204</v>
      </c>
      <c r="L80" s="3" t="n">
        <v>25.97186911007172</v>
      </c>
      <c r="M80" s="3" t="n">
        <v>2.243589743589736</v>
      </c>
      <c r="N80" s="3" t="n">
        <v>0.8720527845706538</v>
      </c>
      <c r="O80" s="3" t="n">
        <v>5.018838759540145</v>
      </c>
      <c r="P80" s="3" t="n">
        <v>4.7475</v>
      </c>
      <c r="Q80" s="3" t="n">
        <v>2.39411237899958</v>
      </c>
      <c r="R80" s="2" t="n">
        <v>6609446</v>
      </c>
      <c r="S80" s="3" t="n">
        <v>9.800000000000001</v>
      </c>
      <c r="T80" s="3" t="n">
        <v>20.04864102992567</v>
      </c>
      <c r="U80" s="2" t="n">
        <v>5104873</v>
      </c>
      <c r="V80" s="3" t="n">
        <v>9.640000000000001</v>
      </c>
      <c r="W80" s="3" t="n">
        <v>18.37203204124851</v>
      </c>
      <c r="X80" t="inlineStr"/>
    </row>
    <row r="81">
      <c r="A81" t="inlineStr">
        <is>
          <t>2016-08</t>
        </is>
      </c>
      <c r="B81" s="2" t="n">
        <v>36390000</v>
      </c>
      <c r="C81" s="2" t="n">
        <v>1306.900024414062</v>
      </c>
      <c r="D81" s="2" t="n">
        <v>35192516.97391943</v>
      </c>
      <c r="E81" s="2" t="n">
        <v>1197483.026080571</v>
      </c>
      <c r="F81" s="2" t="n">
        <v>22335</v>
      </c>
      <c r="G81" s="2" t="n">
        <v>21912</v>
      </c>
      <c r="H81" s="3" t="n">
        <v>675</v>
      </c>
      <c r="I81" s="3" t="n">
        <v>6.6</v>
      </c>
      <c r="J81" s="3" t="n">
        <v>5.035</v>
      </c>
      <c r="K81" s="3" t="n">
        <v>5.784883720930223</v>
      </c>
      <c r="L81" s="3" t="n">
        <v>14.69538354601418</v>
      </c>
      <c r="M81" s="3" t="n">
        <v>-0.6891951978657218</v>
      </c>
      <c r="N81" s="3" t="n">
        <v>0.1005025125628167</v>
      </c>
      <c r="O81" s="3" t="n">
        <v>19.52191235059761</v>
      </c>
      <c r="P81" s="3" t="n">
        <v>4.7475</v>
      </c>
      <c r="Q81" s="3" t="n">
        <v>2.570763484514793</v>
      </c>
      <c r="R81" s="2" t="n">
        <v>6682211</v>
      </c>
      <c r="S81" s="3" t="n">
        <v>11.01</v>
      </c>
      <c r="T81" s="3" t="n">
        <v>19.50421801516593</v>
      </c>
      <c r="U81" s="2" t="n">
        <v>5104873</v>
      </c>
      <c r="V81" s="3" t="n">
        <v>9.640000000000001</v>
      </c>
      <c r="W81" s="3" t="n">
        <v>16.65353779148899</v>
      </c>
      <c r="X81" t="inlineStr"/>
    </row>
    <row r="82">
      <c r="A82" t="inlineStr">
        <is>
          <t>2016-09</t>
        </is>
      </c>
      <c r="B82" s="2" t="n">
        <v>36230000</v>
      </c>
      <c r="C82" s="2" t="n">
        <v>1313.300048828125</v>
      </c>
      <c r="D82" s="2" t="n">
        <v>35364858.36470515</v>
      </c>
      <c r="E82" s="2" t="n">
        <v>865141.6352948546</v>
      </c>
      <c r="F82" s="2" t="n">
        <v>22335</v>
      </c>
      <c r="G82" s="2" t="n">
        <v>21949</v>
      </c>
      <c r="H82" s="3" t="n">
        <v>686</v>
      </c>
      <c r="I82" s="3" t="n">
        <v>6.6675</v>
      </c>
      <c r="J82" s="3" t="n">
        <v>5.035</v>
      </c>
      <c r="K82" s="3" t="n">
        <v>6.873156342182885</v>
      </c>
      <c r="L82" s="3" t="n">
        <v>16.81667688737243</v>
      </c>
      <c r="M82" s="3" t="n">
        <v>-0.7774322523322996</v>
      </c>
      <c r="N82" s="3" t="n">
        <v>0.269529465509355</v>
      </c>
      <c r="O82" s="3" t="n">
        <v>21.92520972557941</v>
      </c>
      <c r="P82" s="3" t="n">
        <v>4.7475</v>
      </c>
      <c r="Q82" s="3" t="n">
        <v>3.344849484917578</v>
      </c>
      <c r="R82" s="2" t="n">
        <v>6829893</v>
      </c>
      <c r="S82" s="3" t="n">
        <v>13.46</v>
      </c>
      <c r="T82" s="3" t="n">
        <v>19.91169234566921</v>
      </c>
      <c r="U82" s="2" t="n">
        <v>5198026</v>
      </c>
      <c r="V82" s="3" t="n">
        <v>11.64</v>
      </c>
      <c r="W82" s="3" t="n">
        <v>16.75799500535142</v>
      </c>
      <c r="X82" s="3" t="n">
        <v>6.561103488374287</v>
      </c>
    </row>
    <row r="83">
      <c r="A83" t="inlineStr">
        <is>
          <t>2016-10</t>
        </is>
      </c>
      <c r="B83" s="2" t="n">
        <v>35820000</v>
      </c>
      <c r="C83" s="2" t="n">
        <v>1271.5</v>
      </c>
      <c r="D83" s="2" t="n">
        <v>34285246.23434662</v>
      </c>
      <c r="E83" s="2" t="n">
        <v>1534753.765653379</v>
      </c>
      <c r="F83" s="2" t="n">
        <v>22365</v>
      </c>
      <c r="G83" s="2" t="n">
        <v>22039</v>
      </c>
      <c r="H83" s="3" t="n">
        <v>676</v>
      </c>
      <c r="I83" s="3" t="n">
        <v>6.675</v>
      </c>
      <c r="J83" s="3" t="n">
        <v>5.035</v>
      </c>
      <c r="K83" s="3" t="n">
        <v>6.007694584196499</v>
      </c>
      <c r="L83" s="3" t="n">
        <v>11.48822270751733</v>
      </c>
      <c r="M83" s="3" t="n">
        <v>0.08950548221078325</v>
      </c>
      <c r="N83" s="3" t="n">
        <v>0.6806761078117951</v>
      </c>
      <c r="O83" s="3" t="n">
        <v>11.29953734955629</v>
      </c>
      <c r="P83" s="3" t="n">
        <v>4.7475</v>
      </c>
      <c r="Q83" s="3" t="n">
        <v>4.089972972662959</v>
      </c>
      <c r="R83" s="2" t="n">
        <v>6863455</v>
      </c>
      <c r="S83" s="3" t="n">
        <v>14.02</v>
      </c>
      <c r="T83" s="3" t="n">
        <v>19.92834830489032</v>
      </c>
      <c r="U83" s="2" t="n">
        <v>5245192</v>
      </c>
      <c r="V83" s="3" t="n">
        <v>12.66</v>
      </c>
      <c r="W83" s="3" t="n">
        <v>16.50508510450657</v>
      </c>
      <c r="X83" t="inlineStr"/>
    </row>
    <row r="84">
      <c r="A84" t="inlineStr">
        <is>
          <t>2016-11</t>
        </is>
      </c>
      <c r="B84" s="2" t="n">
        <v>35820000</v>
      </c>
      <c r="C84" s="2" t="n">
        <v>1170.800048828125</v>
      </c>
      <c r="D84" s="2" t="n">
        <v>32071041.57414962</v>
      </c>
      <c r="E84" s="2" t="n">
        <v>3748958.425850384</v>
      </c>
      <c r="F84" s="2" t="n">
        <v>22720</v>
      </c>
      <c r="G84" s="2" t="n">
        <v>22118</v>
      </c>
      <c r="H84" s="3" t="n">
        <v>665</v>
      </c>
      <c r="I84" s="3" t="n">
        <v>6.675</v>
      </c>
      <c r="J84" s="3" t="n">
        <v>5.035</v>
      </c>
      <c r="K84" s="3" t="n">
        <v>8.282950423216452</v>
      </c>
      <c r="L84" s="3" t="n">
        <v>10.82734694202765</v>
      </c>
      <c r="M84" s="3" t="n">
        <v>0.8880994671403242</v>
      </c>
      <c r="N84" s="3" t="n">
        <v>1.041571493832794</v>
      </c>
      <c r="O84" s="3" t="n">
        <v>16.01535240753662</v>
      </c>
      <c r="P84" s="3" t="n">
        <v>4.7475</v>
      </c>
      <c r="Q84" s="3" t="n">
        <v>4.516962565021987</v>
      </c>
      <c r="R84" s="2" t="n">
        <v>6971061</v>
      </c>
      <c r="S84" s="3" t="n">
        <v>15.81</v>
      </c>
      <c r="T84" s="3" t="n">
        <v>19.99536272158324</v>
      </c>
      <c r="U84" s="2" t="n">
        <v>5350800</v>
      </c>
      <c r="V84" s="3" t="n">
        <v>14.93</v>
      </c>
      <c r="W84" s="3" t="n">
        <v>16.67121288200155</v>
      </c>
      <c r="X84" t="inlineStr"/>
    </row>
    <row r="85">
      <c r="A85" t="inlineStr">
        <is>
          <t>2016-12</t>
        </is>
      </c>
      <c r="B85" s="2" t="n">
        <v>36100000</v>
      </c>
      <c r="C85" s="2" t="n">
        <v>1150</v>
      </c>
      <c r="D85" s="2" t="n">
        <v>31591400.48547591</v>
      </c>
      <c r="E85" s="2" t="n">
        <v>4508599.514524087</v>
      </c>
      <c r="F85" s="2" t="n">
        <v>22785</v>
      </c>
      <c r="G85" s="2" t="n">
        <v>22159</v>
      </c>
      <c r="H85" s="3" t="n">
        <v>664.87</v>
      </c>
      <c r="I85" s="3" t="n">
        <v>6.675</v>
      </c>
      <c r="J85" s="3" t="n">
        <v>5.035</v>
      </c>
      <c r="K85" s="3" t="n">
        <v>10.39755351681957</v>
      </c>
      <c r="L85" s="3" t="n">
        <v>9.83368980825572</v>
      </c>
      <c r="M85" s="3" t="n">
        <v>1.26666666666666</v>
      </c>
      <c r="N85" s="3" t="n">
        <v>1.228871630881678</v>
      </c>
      <c r="O85" s="3" t="n">
        <v>14.82479318860854</v>
      </c>
      <c r="P85" s="3" t="n">
        <v>4.7475</v>
      </c>
      <c r="Q85" s="3" t="n">
        <v>4.737247534519118</v>
      </c>
      <c r="R85" s="2" t="n">
        <v>7125801</v>
      </c>
      <c r="S85" s="3" t="n">
        <v>18.38</v>
      </c>
      <c r="T85" s="3" t="n">
        <v>18.37647594719192</v>
      </c>
      <c r="U85" s="2" t="n">
        <v>5505406</v>
      </c>
      <c r="V85" s="3" t="n">
        <v>18.25</v>
      </c>
      <c r="W85" s="3" t="n">
        <v>18.25000000000001</v>
      </c>
      <c r="X85" s="3" t="n">
        <v>6.682952290247091</v>
      </c>
    </row>
    <row r="86">
      <c r="A86" t="inlineStr">
        <is>
          <t>2017-01</t>
        </is>
      </c>
      <c r="B86" s="2" t="n">
        <v>36800000</v>
      </c>
      <c r="C86" s="2" t="n">
        <v>1208.599975585938</v>
      </c>
      <c r="D86" s="2" t="n">
        <v>32975329.28067956</v>
      </c>
      <c r="E86" s="2" t="n">
        <v>3824670.719320439</v>
      </c>
      <c r="F86" s="2" t="n">
        <v>22630</v>
      </c>
      <c r="G86" s="2" t="n">
        <v>22202</v>
      </c>
      <c r="H86" s="3" t="n">
        <v>697.28</v>
      </c>
      <c r="I86" s="3" t="n">
        <v>6.570161290322581</v>
      </c>
      <c r="J86" s="3" t="n">
        <v>4.80916666666667</v>
      </c>
      <c r="K86" s="3" t="n">
        <v>11.78614823815309</v>
      </c>
      <c r="L86" s="3" t="n">
        <v>-6.954271898758424</v>
      </c>
      <c r="M86" s="3" t="n">
        <v>-14.05241169768325</v>
      </c>
      <c r="N86" s="3" t="n">
        <v>1.467026187102971</v>
      </c>
      <c r="O86" s="3" t="n">
        <v>27.88262265016048</v>
      </c>
      <c r="P86" s="3" t="n">
        <v>6.2</v>
      </c>
      <c r="Q86" s="3" t="n">
        <v>5.2</v>
      </c>
      <c r="R86" s="2" t="n">
        <v>7308746</v>
      </c>
      <c r="S86" s="3" t="n">
        <v>2.57</v>
      </c>
      <c r="T86" s="3" t="n">
        <v>19.65971517083822</v>
      </c>
      <c r="U86" s="2" t="n">
        <v>5604499</v>
      </c>
      <c r="V86" s="3" t="n">
        <v>1.8</v>
      </c>
      <c r="W86" s="3" t="n">
        <v>19.47052401746725</v>
      </c>
      <c r="X86" t="inlineStr"/>
    </row>
    <row r="87">
      <c r="A87" t="inlineStr">
        <is>
          <t>2017-02</t>
        </is>
      </c>
      <c r="B87" s="2" t="n">
        <v>36910000</v>
      </c>
      <c r="C87" s="2" t="n">
        <v>1252.599975585938</v>
      </c>
      <c r="D87" s="2" t="n">
        <v>34455208.14738676</v>
      </c>
      <c r="E87" s="2" t="n">
        <v>2454791.85261324</v>
      </c>
      <c r="F87" s="2" t="n">
        <v>22815</v>
      </c>
      <c r="G87" s="2" t="n">
        <v>22232</v>
      </c>
      <c r="H87" s="3" t="n">
        <v>711</v>
      </c>
      <c r="I87" s="3" t="n">
        <v>6.614285714285714</v>
      </c>
      <c r="J87" s="3" t="n">
        <v>4.80916666666667</v>
      </c>
      <c r="K87" s="3" t="n">
        <v>9.883894016076212</v>
      </c>
      <c r="L87" s="3" t="n">
        <v>3.627583689717095</v>
      </c>
      <c r="M87" s="3" t="n">
        <v>2.080536912751674</v>
      </c>
      <c r="N87" s="3" t="n">
        <v>1.451127133339414</v>
      </c>
      <c r="O87" s="3" t="n">
        <v>27.19141323792487</v>
      </c>
      <c r="P87" s="3" t="n">
        <v>6.2</v>
      </c>
      <c r="Q87" s="3" t="n">
        <v>5</v>
      </c>
      <c r="R87" s="2" t="n">
        <v>7252377</v>
      </c>
      <c r="S87" s="3" t="n">
        <v>1.78</v>
      </c>
      <c r="T87" s="3" t="n">
        <v>18.14363512260919</v>
      </c>
      <c r="U87" s="2" t="n">
        <v>5602778</v>
      </c>
      <c r="V87" s="3" t="n">
        <v>1.77</v>
      </c>
      <c r="W87" s="3" t="n">
        <v>19.56584699453554</v>
      </c>
      <c r="X87" t="inlineStr"/>
    </row>
    <row r="88">
      <c r="A88" t="inlineStr">
        <is>
          <t>2017-03</t>
        </is>
      </c>
      <c r="B88" s="2" t="n">
        <v>36540000</v>
      </c>
      <c r="C88" s="2" t="n">
        <v>1247.300048828125</v>
      </c>
      <c r="D88" s="2" t="n">
        <v>34271828.0653218</v>
      </c>
      <c r="E88" s="2" t="n">
        <v>2268171.934678204</v>
      </c>
      <c r="F88" s="2" t="n">
        <v>22790</v>
      </c>
      <c r="G88" s="2" t="n">
        <v>22276</v>
      </c>
      <c r="H88" s="3" t="n">
        <v>722</v>
      </c>
      <c r="I88" s="3" t="n">
        <v>6.644086021505377</v>
      </c>
      <c r="J88" s="3" t="n">
        <v>4.80916666666667</v>
      </c>
      <c r="K88" s="3" t="n">
        <v>9.598080383923225</v>
      </c>
      <c r="L88" s="3" t="n">
        <v>3.166399050710567</v>
      </c>
      <c r="M88" s="3" t="n">
        <v>2.082866741321387</v>
      </c>
      <c r="N88" s="3" t="n">
        <v>1.917005993503218</v>
      </c>
      <c r="O88" s="3" t="n">
        <v>28.698752228164</v>
      </c>
      <c r="P88" s="3" t="n">
        <v>6.2</v>
      </c>
      <c r="Q88" s="3" t="n">
        <v>4.7</v>
      </c>
      <c r="R88" s="2" t="n">
        <v>7374307</v>
      </c>
      <c r="S88" s="3" t="n">
        <v>3.49</v>
      </c>
      <c r="T88" s="3" t="n">
        <v>17.65086811366636</v>
      </c>
      <c r="U88" s="2" t="n">
        <v>5746188</v>
      </c>
      <c r="V88" s="3" t="n">
        <v>4.37</v>
      </c>
      <c r="W88" s="3" t="n">
        <v>19.7763247282609</v>
      </c>
      <c r="X88" s="3" t="n">
        <v>5.2</v>
      </c>
    </row>
    <row r="89">
      <c r="A89" t="inlineStr">
        <is>
          <t>2017-04</t>
        </is>
      </c>
      <c r="B89" s="2" t="n">
        <v>36880000</v>
      </c>
      <c r="C89" s="2" t="n">
        <v>1266.099975585938</v>
      </c>
      <c r="D89" s="2" t="n">
        <v>34750228.20287172</v>
      </c>
      <c r="E89" s="2" t="n">
        <v>2129771.797128282</v>
      </c>
      <c r="F89" s="2" t="n">
        <v>22765</v>
      </c>
      <c r="G89" s="2" t="n">
        <v>22350</v>
      </c>
      <c r="H89" s="3" t="n">
        <v>717.73</v>
      </c>
      <c r="I89" s="3" t="n">
        <v>6.675833333333333</v>
      </c>
      <c r="J89" s="3" t="n">
        <v>4.80916666666667</v>
      </c>
      <c r="K89" s="3" t="n">
        <v>7.365356622998553</v>
      </c>
      <c r="L89" s="3" t="n">
        <v>0.1661967990933766</v>
      </c>
      <c r="M89" s="3" t="n">
        <v>1.993727598566308</v>
      </c>
      <c r="N89" s="3" t="n">
        <v>2.325794341177545</v>
      </c>
      <c r="O89" s="3" t="n">
        <v>19.94752410715779</v>
      </c>
      <c r="P89" s="3" t="n">
        <v>6.13</v>
      </c>
      <c r="Q89" s="3" t="n">
        <v>4.3</v>
      </c>
      <c r="R89" s="2" t="n">
        <v>7403116</v>
      </c>
      <c r="S89" s="3" t="n">
        <v>3.89</v>
      </c>
      <c r="T89" s="3" t="n">
        <v>17.02063153794915</v>
      </c>
      <c r="U89" s="2" t="n">
        <v>5817176</v>
      </c>
      <c r="V89" s="3" t="n">
        <v>5.66</v>
      </c>
      <c r="W89" s="3" t="n">
        <v>20.06818181818184</v>
      </c>
      <c r="X89" t="inlineStr"/>
    </row>
    <row r="90">
      <c r="A90" t="inlineStr">
        <is>
          <t>2017-05</t>
        </is>
      </c>
      <c r="B90" s="2" t="n">
        <v>36400000</v>
      </c>
      <c r="C90" s="2" t="n">
        <v>1272</v>
      </c>
      <c r="D90" s="2" t="n">
        <v>34881492.43654251</v>
      </c>
      <c r="E90" s="2" t="n">
        <v>1518507.563457489</v>
      </c>
      <c r="F90" s="2" t="n">
        <v>22745</v>
      </c>
      <c r="G90" s="2" t="n">
        <v>22396</v>
      </c>
      <c r="H90" s="3" t="n">
        <v>738</v>
      </c>
      <c r="I90" s="3" t="n">
        <v>6.675</v>
      </c>
      <c r="J90" s="3" t="n">
        <v>4.80916666666667</v>
      </c>
      <c r="K90" s="3" t="n">
        <v>9.14542728635681</v>
      </c>
      <c r="L90" s="3" t="n">
        <v>6.084493317058803</v>
      </c>
      <c r="M90" s="3" t="n">
        <v>1.314031180400899</v>
      </c>
      <c r="N90" s="3" t="n">
        <v>2.08304845252747</v>
      </c>
      <c r="O90" s="3" t="n">
        <v>19.41747572815533</v>
      </c>
      <c r="P90" s="3" t="n">
        <v>6.125</v>
      </c>
      <c r="Q90" s="3" t="n">
        <v>3.2</v>
      </c>
      <c r="R90" s="2" t="n">
        <v>7466760</v>
      </c>
      <c r="S90" s="3" t="n">
        <v>4.78</v>
      </c>
      <c r="T90" s="3" t="n">
        <v>16.17082311859683</v>
      </c>
      <c r="U90" s="2" t="n">
        <v>5891669</v>
      </c>
      <c r="V90" s="3" t="n">
        <v>7.02</v>
      </c>
      <c r="W90" s="3" t="n">
        <v>19.96506777893641</v>
      </c>
      <c r="X90" t="inlineStr"/>
    </row>
    <row r="91">
      <c r="A91" t="inlineStr">
        <is>
          <t>2017-06</t>
        </is>
      </c>
      <c r="B91" s="2" t="n">
        <v>36370000</v>
      </c>
      <c r="C91" s="2" t="n">
        <v>1240.699951171875</v>
      </c>
      <c r="D91" s="2" t="n">
        <v>34060561.37755831</v>
      </c>
      <c r="E91" s="2" t="n">
        <v>2309438.622441694</v>
      </c>
      <c r="F91" s="2" t="n">
        <v>22770</v>
      </c>
      <c r="G91" s="2" t="n">
        <v>22431</v>
      </c>
      <c r="H91" s="3" t="n">
        <v>776</v>
      </c>
      <c r="I91" s="3" t="n">
        <v>6.675</v>
      </c>
      <c r="J91" s="3" t="n">
        <v>4.80916666666667</v>
      </c>
      <c r="K91" s="3" t="n">
        <v>3.265190232822257</v>
      </c>
      <c r="L91" s="3" t="n">
        <v>-4.103615341778955</v>
      </c>
      <c r="M91" s="3" t="n">
        <v>1.901991496979183</v>
      </c>
      <c r="N91" s="3" t="n">
        <v>2.551090385406662</v>
      </c>
      <c r="O91" s="3" t="n">
        <v>22.78481012658229</v>
      </c>
      <c r="P91" s="3" t="n">
        <v>6.233333333333333</v>
      </c>
      <c r="Q91" s="3" t="n">
        <v>2.5</v>
      </c>
      <c r="R91" s="2" t="n">
        <v>7616856</v>
      </c>
      <c r="S91" s="3" t="n">
        <v>6.89</v>
      </c>
      <c r="T91" s="3" t="n">
        <v>15.54006025732077</v>
      </c>
      <c r="U91" s="2" t="n">
        <v>6001383</v>
      </c>
      <c r="V91" s="3" t="n">
        <v>9.01</v>
      </c>
      <c r="W91" s="3" t="n">
        <v>19.12422604195547</v>
      </c>
      <c r="X91" s="3" t="n">
        <v>6.4</v>
      </c>
    </row>
    <row r="92">
      <c r="A92" t="inlineStr">
        <is>
          <t>2017-07</t>
        </is>
      </c>
      <c r="B92" s="2" t="n">
        <v>36330000</v>
      </c>
      <c r="C92" s="2" t="n">
        <v>1266.599975585938</v>
      </c>
      <c r="D92" s="2" t="n">
        <v>34763951.53786618</v>
      </c>
      <c r="E92" s="2" t="n">
        <v>1566048.462133825</v>
      </c>
      <c r="F92" s="2" t="n">
        <v>22765</v>
      </c>
      <c r="G92" s="2" t="n">
        <v>22432</v>
      </c>
      <c r="H92" s="3" t="n">
        <v>784</v>
      </c>
      <c r="I92" s="3" t="n">
        <v>6.747580645161291</v>
      </c>
      <c r="J92" s="3" t="n">
        <v>4.80916666666667</v>
      </c>
      <c r="K92" s="3" t="n">
        <v>-1.142857142857145</v>
      </c>
      <c r="L92" s="3" t="n">
        <v>-4.279169674991445</v>
      </c>
      <c r="M92" s="3" t="n">
        <v>1.948051948051943</v>
      </c>
      <c r="N92" s="3" t="n">
        <v>2.607263745311506</v>
      </c>
      <c r="O92" s="3" t="n">
        <v>20.20299587568801</v>
      </c>
      <c r="P92" s="3" t="n">
        <v>6.261290322580645</v>
      </c>
      <c r="Q92" s="3" t="n">
        <v>2.5</v>
      </c>
      <c r="R92" s="2" t="n">
        <v>7668850</v>
      </c>
      <c r="S92" s="3" t="n">
        <v>7.62</v>
      </c>
      <c r="T92" s="3" t="n">
        <v>16.02863538033294</v>
      </c>
      <c r="U92" s="2" t="n">
        <v>6032680</v>
      </c>
      <c r="V92" s="3" t="n">
        <v>9.58</v>
      </c>
      <c r="W92" s="3" t="n">
        <v>18.18528821597958</v>
      </c>
      <c r="X92" t="inlineStr"/>
    </row>
    <row r="93">
      <c r="A93" t="inlineStr">
        <is>
          <t>2017-08</t>
        </is>
      </c>
      <c r="B93" s="2" t="n">
        <v>36560000</v>
      </c>
      <c r="C93" s="2" t="n">
        <v>1316.199951171875</v>
      </c>
      <c r="D93" s="2" t="n">
        <v>36125305.69923128</v>
      </c>
      <c r="E93" s="2" t="n">
        <v>434694.3007687181</v>
      </c>
      <c r="F93" s="2" t="n">
        <v>22765</v>
      </c>
      <c r="G93" s="2" t="n">
        <v>22443</v>
      </c>
      <c r="H93" s="3" t="n">
        <v>782.76</v>
      </c>
      <c r="I93" s="3" t="n">
        <v>6.708064516129033</v>
      </c>
      <c r="J93" s="3" t="n">
        <v>4.80916666666667</v>
      </c>
      <c r="K93" s="3" t="n">
        <v>0.4671613080516668</v>
      </c>
      <c r="L93" s="3" t="n">
        <v>2.650531435427395</v>
      </c>
      <c r="M93" s="3" t="n">
        <v>1.925229460488032</v>
      </c>
      <c r="N93" s="3" t="n">
        <v>2.423329682365827</v>
      </c>
      <c r="O93" s="3" t="n">
        <v>15.96444444444445</v>
      </c>
      <c r="P93" s="3" t="n">
        <v>6.6</v>
      </c>
      <c r="Q93" s="3" t="n">
        <v>3.4</v>
      </c>
      <c r="R93" s="2" t="n">
        <v>7762372</v>
      </c>
      <c r="S93" s="3" t="n">
        <v>8.93</v>
      </c>
      <c r="T93" s="3" t="n">
        <v>16.16472452007278</v>
      </c>
      <c r="U93" s="2" t="n">
        <v>6099921</v>
      </c>
      <c r="V93" s="3" t="n">
        <v>10.8</v>
      </c>
      <c r="W93" s="3" t="n">
        <v>19.50109449106168</v>
      </c>
      <c r="X93" t="inlineStr"/>
    </row>
    <row r="94">
      <c r="A94" t="inlineStr">
        <is>
          <t>2017-09</t>
        </is>
      </c>
      <c r="B94" s="2" t="n">
        <v>36600000</v>
      </c>
      <c r="C94" s="2" t="n">
        <v>1281.5</v>
      </c>
      <c r="D94" s="2" t="n">
        <v>35165182.37497388</v>
      </c>
      <c r="E94" s="2" t="n">
        <v>1434817.625026122</v>
      </c>
      <c r="F94" s="2" t="n">
        <v>22760</v>
      </c>
      <c r="G94" s="2" t="n">
        <v>22470</v>
      </c>
      <c r="H94" s="3" t="n">
        <v>804.42</v>
      </c>
      <c r="I94" s="3" t="n">
        <v>6.816666666666666</v>
      </c>
      <c r="J94" s="3" t="n">
        <v>4.80916666666667</v>
      </c>
      <c r="K94" s="3" t="n">
        <v>1.021253105161479</v>
      </c>
      <c r="L94" s="3" t="n">
        <v>-0.5646169643098276</v>
      </c>
      <c r="M94" s="3" t="n">
        <v>1.902843071412574</v>
      </c>
      <c r="N94" s="3" t="n">
        <v>2.373684450316649</v>
      </c>
      <c r="O94" s="3" t="n">
        <v>17.26239067055393</v>
      </c>
      <c r="P94" s="3" t="n">
        <v>6.6675</v>
      </c>
      <c r="Q94" s="3" t="n">
        <v>3.4</v>
      </c>
      <c r="R94" s="2" t="n">
        <v>7877753</v>
      </c>
      <c r="S94" s="3" t="n">
        <v>10.55</v>
      </c>
      <c r="T94" s="3" t="n">
        <v>15.34226085240282</v>
      </c>
      <c r="U94" s="2" t="n">
        <v>6177691</v>
      </c>
      <c r="V94" s="3" t="n">
        <v>12.21</v>
      </c>
      <c r="W94" s="3" t="n">
        <v>18.85374865639557</v>
      </c>
      <c r="X94" s="3" t="n">
        <v>7.4</v>
      </c>
    </row>
    <row r="95">
      <c r="A95" t="inlineStr">
        <is>
          <t>2017-10</t>
        </is>
      </c>
      <c r="B95" s="2" t="n">
        <v>36580000</v>
      </c>
      <c r="C95" s="2" t="n">
        <v>1267</v>
      </c>
      <c r="D95" s="2" t="n">
        <v>34759655.26387706</v>
      </c>
      <c r="E95" s="2" t="n">
        <v>1820344.736122943</v>
      </c>
      <c r="F95" s="2" t="n">
        <v>22755</v>
      </c>
      <c r="G95" s="2" t="n">
        <v>22471</v>
      </c>
      <c r="H95" s="3" t="n">
        <v>837.28</v>
      </c>
      <c r="I95" s="3" t="n">
        <v>6.7</v>
      </c>
      <c r="J95" s="3" t="n">
        <v>4.80916666666667</v>
      </c>
      <c r="K95" s="3" t="n">
        <v>2.121719709659398</v>
      </c>
      <c r="L95" s="3" t="n">
        <v>1.383711892537542</v>
      </c>
      <c r="M95" s="3" t="n">
        <v>1.74379610999329</v>
      </c>
      <c r="N95" s="3" t="n">
        <v>1.96016153182994</v>
      </c>
      <c r="O95" s="3" t="n">
        <v>23.85798816568048</v>
      </c>
      <c r="P95" s="3" t="n">
        <v>6.675</v>
      </c>
      <c r="Q95" s="3" t="n">
        <v>3</v>
      </c>
      <c r="R95" s="2" t="n">
        <v>7901462</v>
      </c>
      <c r="S95" s="3" t="n">
        <v>10.89</v>
      </c>
      <c r="T95" s="3" t="n">
        <v>15.12368042042964</v>
      </c>
      <c r="U95" s="2" t="n">
        <v>6260763</v>
      </c>
      <c r="V95" s="3" t="n">
        <v>13.72</v>
      </c>
      <c r="W95" s="3" t="n">
        <v>19.36259541984733</v>
      </c>
      <c r="X95" t="inlineStr"/>
    </row>
    <row r="96">
      <c r="A96" t="inlineStr">
        <is>
          <t>2017-11</t>
        </is>
      </c>
      <c r="B96" s="2" t="n">
        <v>36510000</v>
      </c>
      <c r="C96" s="2" t="n">
        <v>1273.199951171875</v>
      </c>
      <c r="D96" s="2" t="n">
        <v>34929748.52779754</v>
      </c>
      <c r="E96" s="2" t="n">
        <v>1580251.472202465</v>
      </c>
      <c r="F96" s="2" t="n">
        <v>22755</v>
      </c>
      <c r="G96" s="2" t="n">
        <v>22433</v>
      </c>
      <c r="H96" s="3" t="n">
        <v>949.9299999999999</v>
      </c>
      <c r="I96" s="3" t="n">
        <v>6.7</v>
      </c>
      <c r="J96" s="3" t="n">
        <v>4.80916666666667</v>
      </c>
      <c r="K96" s="3" t="n">
        <v>1.926298157453932</v>
      </c>
      <c r="L96" s="3" t="n">
        <v>8.913670443282818</v>
      </c>
      <c r="M96" s="3" t="n">
        <v>0.1540492957746498</v>
      </c>
      <c r="N96" s="3" t="n">
        <v>1.424179401392522</v>
      </c>
      <c r="O96" s="3" t="n">
        <v>42.84661654135338</v>
      </c>
      <c r="P96" s="3" t="n">
        <v>6.675</v>
      </c>
      <c r="Q96" s="3" t="n">
        <v>2.6</v>
      </c>
      <c r="R96" s="2" t="n">
        <v>8062576</v>
      </c>
      <c r="S96" s="3" t="n">
        <v>13.15</v>
      </c>
      <c r="T96" s="3" t="n">
        <v>15.65780302309792</v>
      </c>
      <c r="U96" s="2" t="n">
        <v>6370509</v>
      </c>
      <c r="V96" s="3" t="n">
        <v>15.71</v>
      </c>
      <c r="W96" s="3" t="n">
        <v>19.0525319759854</v>
      </c>
      <c r="X96" t="inlineStr"/>
    </row>
    <row r="97">
      <c r="A97" t="inlineStr">
        <is>
          <t>2017-12</t>
        </is>
      </c>
      <c r="B97" s="2" t="n">
        <v>36440000</v>
      </c>
      <c r="C97" s="2" t="n">
        <v>1306.300048828125</v>
      </c>
      <c r="D97" s="2" t="n">
        <v>35806338.04488332</v>
      </c>
      <c r="E97" s="2" t="n">
        <v>633661.9551166818</v>
      </c>
      <c r="F97" s="2" t="n">
        <v>22735</v>
      </c>
      <c r="G97" s="2" t="n">
        <v>22425</v>
      </c>
      <c r="H97" s="3" t="n">
        <v>984.24</v>
      </c>
      <c r="I97" s="3" t="n">
        <v>6.699193548387096</v>
      </c>
      <c r="J97" s="3" t="n">
        <v>4.80916666666667</v>
      </c>
      <c r="K97" s="3" t="n">
        <v>0.9418282548476542</v>
      </c>
      <c r="L97" s="3" t="n">
        <v>13.34204085490043</v>
      </c>
      <c r="M97" s="3" t="n">
        <v>-0.2194426157559826</v>
      </c>
      <c r="N97" s="3" t="n">
        <v>1.200415181190495</v>
      </c>
      <c r="O97" s="3" t="n">
        <v>48.03495420157324</v>
      </c>
      <c r="P97" s="3" t="n">
        <v>6.675</v>
      </c>
      <c r="Q97" s="3" t="n">
        <v>2.6</v>
      </c>
      <c r="R97" s="2" t="n">
        <v>8192548</v>
      </c>
      <c r="S97" s="3" t="n">
        <v>14.97</v>
      </c>
      <c r="T97" s="3" t="n">
        <v>14.97020475312178</v>
      </c>
      <c r="U97" s="2" t="n">
        <v>6329715</v>
      </c>
      <c r="V97" s="3" t="n">
        <v>14.97</v>
      </c>
      <c r="W97" s="3" t="n">
        <v>14.97</v>
      </c>
      <c r="X97" s="3" t="n">
        <v>7.7</v>
      </c>
    </row>
    <row r="98">
      <c r="A98" t="inlineStr">
        <is>
          <t>2018-01</t>
        </is>
      </c>
      <c r="B98" s="2" t="n">
        <v>36880000</v>
      </c>
      <c r="C98" s="2" t="n">
        <v>1339</v>
      </c>
      <c r="D98" s="2" t="n">
        <v>36718803.75198933</v>
      </c>
      <c r="E98" s="2" t="n">
        <v>161196.2480106726</v>
      </c>
      <c r="F98" s="2" t="n">
        <v>22745</v>
      </c>
      <c r="G98" s="2" t="n">
        <v>22441</v>
      </c>
      <c r="H98" s="2" t="n">
        <v>1110.36</v>
      </c>
      <c r="I98" s="3" t="n">
        <v>6.675</v>
      </c>
      <c r="J98" s="3" t="n">
        <v>4.73825</v>
      </c>
      <c r="K98" s="3" t="n">
        <v>0.2173913043478359</v>
      </c>
      <c r="L98" s="3" t="n">
        <v>11.35234902264672</v>
      </c>
      <c r="M98" s="3" t="n">
        <v>0.5081749889527254</v>
      </c>
      <c r="N98" s="3" t="n">
        <v>1.076479596432756</v>
      </c>
      <c r="O98" s="3" t="n">
        <v>59.24162459843964</v>
      </c>
      <c r="P98" s="3" t="n">
        <v>6.570161290322581</v>
      </c>
      <c r="Q98" s="3" t="n">
        <v>2.7</v>
      </c>
      <c r="R98" s="2" t="n">
        <v>8296475</v>
      </c>
      <c r="S98" s="3" t="n">
        <v>1.27</v>
      </c>
      <c r="T98" s="3" t="n">
        <v>13.5143429529498</v>
      </c>
      <c r="U98" s="2" t="n">
        <v>6390566</v>
      </c>
      <c r="V98" s="3" t="n">
        <v>0.96</v>
      </c>
      <c r="W98" s="3" t="n">
        <v>14.02132809430256</v>
      </c>
      <c r="X98" t="inlineStr"/>
    </row>
    <row r="99">
      <c r="A99" t="inlineStr">
        <is>
          <t>2018-02</t>
        </is>
      </c>
      <c r="B99" s="2" t="n">
        <v>36700000</v>
      </c>
      <c r="C99" s="2" t="n">
        <v>1315.5</v>
      </c>
      <c r="D99" s="2" t="n">
        <v>36137815.07708136</v>
      </c>
      <c r="E99" s="2" t="n">
        <v>562184.9229186401</v>
      </c>
      <c r="F99" s="2" t="n">
        <v>22785</v>
      </c>
      <c r="G99" s="2" t="n">
        <v>22463</v>
      </c>
      <c r="H99" s="2" t="n">
        <v>1124.87</v>
      </c>
      <c r="I99" s="3" t="n">
        <v>6.675</v>
      </c>
      <c r="J99" s="3" t="n">
        <v>4.73825</v>
      </c>
      <c r="K99" s="3" t="n">
        <v>-0.5689515036575443</v>
      </c>
      <c r="L99" s="3" t="n">
        <v>4.88346180495276</v>
      </c>
      <c r="M99" s="3" t="n">
        <v>-0.1314924391847438</v>
      </c>
      <c r="N99" s="3" t="n">
        <v>1.039042821158698</v>
      </c>
      <c r="O99" s="3" t="n">
        <v>58.20956399437411</v>
      </c>
      <c r="P99" s="3" t="n">
        <v>6.614285714285714</v>
      </c>
      <c r="Q99" s="3" t="n">
        <v>3.2</v>
      </c>
      <c r="R99" s="2" t="n">
        <v>8401534</v>
      </c>
      <c r="S99" s="3" t="n">
        <v>2.55</v>
      </c>
      <c r="T99" s="3" t="n">
        <v>15.84524632406728</v>
      </c>
      <c r="U99" s="2" t="n">
        <v>6416397</v>
      </c>
      <c r="V99" s="3" t="n">
        <v>1.37</v>
      </c>
      <c r="W99" s="3" t="n">
        <v>14.51811830598409</v>
      </c>
      <c r="X99" t="inlineStr"/>
    </row>
    <row r="100">
      <c r="A100" t="inlineStr">
        <is>
          <t>2018-03</t>
        </is>
      </c>
      <c r="B100" s="2" t="n">
        <v>36800000</v>
      </c>
      <c r="C100" s="2" t="n">
        <v>1322.800048828125</v>
      </c>
      <c r="D100" s="2" t="n">
        <v>36394172.41740216</v>
      </c>
      <c r="E100" s="2" t="n">
        <v>405827.5825978443</v>
      </c>
      <c r="F100" s="2" t="n">
        <v>22820</v>
      </c>
      <c r="G100" s="2" t="n">
        <v>22458</v>
      </c>
      <c r="H100" s="2" t="n">
        <v>1174.46</v>
      </c>
      <c r="I100" s="3" t="n">
        <v>6.62983870967742</v>
      </c>
      <c r="J100" s="3" t="n">
        <v>4.73825</v>
      </c>
      <c r="K100" s="3" t="n">
        <v>0.7115489874110592</v>
      </c>
      <c r="L100" s="3" t="n">
        <v>6.192679153371072</v>
      </c>
      <c r="M100" s="3" t="n">
        <v>0.1316366827555981</v>
      </c>
      <c r="N100" s="3" t="n">
        <v>0.8170228048123507</v>
      </c>
      <c r="O100" s="3" t="n">
        <v>62.66759002770084</v>
      </c>
      <c r="P100" s="3" t="n">
        <v>6.644086021505377</v>
      </c>
      <c r="Q100" s="3" t="n">
        <v>2.7</v>
      </c>
      <c r="R100" s="2" t="n">
        <v>8521098</v>
      </c>
      <c r="S100" s="3" t="n">
        <v>4.01</v>
      </c>
      <c r="T100" s="3" t="n">
        <v>15.55116975737516</v>
      </c>
      <c r="U100" s="2" t="n">
        <v>6555278</v>
      </c>
      <c r="V100" s="3" t="n">
        <v>3.56</v>
      </c>
      <c r="W100" s="3" t="n">
        <v>14.07773498131646</v>
      </c>
      <c r="X100" s="3" t="n">
        <v>15.4</v>
      </c>
    </row>
    <row r="101">
      <c r="A101" t="inlineStr">
        <is>
          <t>2018-04</t>
        </is>
      </c>
      <c r="B101" s="2" t="n">
        <v>36870000</v>
      </c>
      <c r="C101" s="2" t="n">
        <v>1316.199951171875</v>
      </c>
      <c r="D101" s="2" t="n">
        <v>36180846.47232476</v>
      </c>
      <c r="E101" s="2" t="n">
        <v>689153.5276752412</v>
      </c>
      <c r="F101" s="2" t="n">
        <v>22800</v>
      </c>
      <c r="G101" s="2" t="n">
        <v>22539</v>
      </c>
      <c r="H101" s="2" t="n">
        <v>1050.26</v>
      </c>
      <c r="I101" s="3" t="n">
        <v>6.65</v>
      </c>
      <c r="J101" s="3" t="n">
        <v>4.73825</v>
      </c>
      <c r="K101" s="3" t="n">
        <v>-0.02711496746203856</v>
      </c>
      <c r="L101" s="3" t="n">
        <v>4.116860070964412</v>
      </c>
      <c r="M101" s="3" t="n">
        <v>0.1537447836591266</v>
      </c>
      <c r="N101" s="3" t="n">
        <v>0.8456375838926222</v>
      </c>
      <c r="O101" s="3" t="n">
        <v>46.33079291655635</v>
      </c>
      <c r="P101" s="3" t="n">
        <v>6.675833333333333</v>
      </c>
      <c r="Q101" s="3" t="n">
        <v>2.8</v>
      </c>
      <c r="R101" s="2" t="n">
        <v>8661255</v>
      </c>
      <c r="S101" s="3" t="n">
        <v>5.72</v>
      </c>
      <c r="T101" s="3" t="n">
        <v>16.9947222223723</v>
      </c>
      <c r="U101" s="2" t="n">
        <v>6654158</v>
      </c>
      <c r="V101" s="3" t="n">
        <v>5.13</v>
      </c>
      <c r="W101" s="3" t="n">
        <v>14.39330020821503</v>
      </c>
      <c r="X101" t="inlineStr"/>
    </row>
    <row r="102">
      <c r="A102" t="inlineStr">
        <is>
          <t>2018-05</t>
        </is>
      </c>
      <c r="B102" s="2" t="n">
        <v>36720000</v>
      </c>
      <c r="C102" s="2" t="n">
        <v>1300.099975585938</v>
      </c>
      <c r="D102" s="2" t="n">
        <v>35840161.80868609</v>
      </c>
      <c r="E102" s="2" t="n">
        <v>879838.1913139075</v>
      </c>
      <c r="F102" s="2" t="n">
        <v>22865</v>
      </c>
      <c r="G102" s="2" t="n">
        <v>22595</v>
      </c>
      <c r="H102" s="3" t="n">
        <v>971.25</v>
      </c>
      <c r="I102" s="3" t="n">
        <v>6.691935483870968</v>
      </c>
      <c r="J102" s="3" t="n">
        <v>4.73825</v>
      </c>
      <c r="K102" s="3" t="n">
        <v>0.879120879120876</v>
      </c>
      <c r="L102" s="3" t="n">
        <v>2.748361108366049</v>
      </c>
      <c r="M102" s="3" t="n">
        <v>0.5275884809848419</v>
      </c>
      <c r="N102" s="3" t="n">
        <v>0.888551527058401</v>
      </c>
      <c r="O102" s="3" t="n">
        <v>31.60569105691058</v>
      </c>
      <c r="P102" s="3" t="n">
        <v>6.675</v>
      </c>
      <c r="Q102" s="3" t="n">
        <v>3.9</v>
      </c>
      <c r="R102" s="2" t="n">
        <v>8757588</v>
      </c>
      <c r="S102" s="3" t="n">
        <v>6.9</v>
      </c>
      <c r="T102" s="3" t="n">
        <v>17.28765890426369</v>
      </c>
      <c r="U102" s="2" t="n">
        <v>6723248</v>
      </c>
      <c r="V102" s="3" t="n">
        <v>6.22</v>
      </c>
      <c r="W102" s="3" t="n">
        <v>14.1105718557279</v>
      </c>
      <c r="X102" t="inlineStr"/>
    </row>
    <row r="103">
      <c r="A103" t="inlineStr">
        <is>
          <t>2018-06</t>
        </is>
      </c>
      <c r="B103" s="2" t="n">
        <v>36820000</v>
      </c>
      <c r="C103" s="2" t="n">
        <v>1251.300048828125</v>
      </c>
      <c r="D103" s="2" t="n">
        <v>34683461.81606402</v>
      </c>
      <c r="E103" s="2" t="n">
        <v>2136538.183935978</v>
      </c>
      <c r="F103" s="2" t="n">
        <v>22990</v>
      </c>
      <c r="G103" s="2" t="n">
        <v>22650</v>
      </c>
      <c r="H103" s="3" t="n">
        <v>960.78</v>
      </c>
      <c r="I103" s="3" t="n">
        <v>6.7</v>
      </c>
      <c r="J103" s="3" t="n">
        <v>4.73825</v>
      </c>
      <c r="K103" s="3" t="n">
        <v>1.237283475391804</v>
      </c>
      <c r="L103" s="3" t="n">
        <v>1.828802618961323</v>
      </c>
      <c r="M103" s="3" t="n">
        <v>0.9661835748792313</v>
      </c>
      <c r="N103" s="3" t="n">
        <v>0.9763274040390568</v>
      </c>
      <c r="O103" s="3" t="n">
        <v>23.81185567010309</v>
      </c>
      <c r="P103" s="3" t="n">
        <v>6.675</v>
      </c>
      <c r="Q103" s="3" t="n">
        <v>4.7</v>
      </c>
      <c r="R103" s="2" t="n">
        <v>8879582</v>
      </c>
      <c r="S103" s="3" t="n">
        <v>8.390000000000001</v>
      </c>
      <c r="T103" s="3" t="n">
        <v>16.5780474253419</v>
      </c>
      <c r="U103" s="2" t="n">
        <v>6827140.33</v>
      </c>
      <c r="V103" s="3" t="n">
        <v>7.86</v>
      </c>
      <c r="W103" s="3" t="n">
        <v>13.7571250344005</v>
      </c>
      <c r="X103" s="3" t="n">
        <v>6.7</v>
      </c>
    </row>
    <row r="104">
      <c r="A104" t="inlineStr">
        <is>
          <t>2018-07</t>
        </is>
      </c>
      <c r="B104" s="2" t="n">
        <v>36840000</v>
      </c>
      <c r="C104" s="2" t="n">
        <v>1223.699951171875</v>
      </c>
      <c r="D104" s="2" t="n">
        <v>34390557.96994278</v>
      </c>
      <c r="E104" s="2" t="n">
        <v>2449442.030057222</v>
      </c>
      <c r="F104" s="2" t="n">
        <v>23310</v>
      </c>
      <c r="G104" s="2" t="n">
        <v>22669</v>
      </c>
      <c r="H104" s="3" t="n">
        <v>956.39</v>
      </c>
      <c r="I104" s="3" t="n">
        <v>6.625</v>
      </c>
      <c r="J104" s="3" t="n">
        <v>4.73825</v>
      </c>
      <c r="K104" s="3" t="n">
        <v>1.40379851362511</v>
      </c>
      <c r="L104" s="3" t="n">
        <v>-1.074082638496032</v>
      </c>
      <c r="M104" s="3" t="n">
        <v>2.394025916977816</v>
      </c>
      <c r="N104" s="3" t="n">
        <v>1.056526390870194</v>
      </c>
      <c r="O104" s="3" t="n">
        <v>21.98852040816326</v>
      </c>
      <c r="P104" s="3" t="n">
        <v>6.747580645161291</v>
      </c>
      <c r="Q104" s="3" t="n">
        <v>4.5</v>
      </c>
      <c r="R104" s="2" t="n">
        <v>8842552</v>
      </c>
      <c r="S104" s="3" t="n">
        <v>7.93</v>
      </c>
      <c r="T104" s="3" t="n">
        <v>15.30479798144442</v>
      </c>
      <c r="U104" s="2" t="n">
        <v>6842262</v>
      </c>
      <c r="V104" s="3" t="n">
        <v>8.1</v>
      </c>
      <c r="W104" s="3" t="n">
        <v>13.41720204416861</v>
      </c>
      <c r="X104" t="inlineStr"/>
    </row>
    <row r="105">
      <c r="A105" t="inlineStr">
        <is>
          <t>2018-08</t>
        </is>
      </c>
      <c r="B105" s="2" t="n">
        <v>36730000</v>
      </c>
      <c r="C105" s="2" t="n">
        <v>1200.300048828125</v>
      </c>
      <c r="D105" s="2" t="n">
        <v>33776347.28364385</v>
      </c>
      <c r="E105" s="2" t="n">
        <v>2953652.716356151</v>
      </c>
      <c r="F105" s="2" t="n">
        <v>23340</v>
      </c>
      <c r="G105" s="2" t="n">
        <v>22678</v>
      </c>
      <c r="H105" s="3" t="n">
        <v>989.54</v>
      </c>
      <c r="I105" s="3" t="n">
        <v>6.668548387096774</v>
      </c>
      <c r="J105" s="3" t="n">
        <v>4.73825</v>
      </c>
      <c r="K105" s="3" t="n">
        <v>0.4649890590809669</v>
      </c>
      <c r="L105" s="3" t="n">
        <v>-6.502252009004916</v>
      </c>
      <c r="M105" s="3" t="n">
        <v>2.525807160114213</v>
      </c>
      <c r="N105" s="3" t="n">
        <v>1.047097090406801</v>
      </c>
      <c r="O105" s="3" t="n">
        <v>26.41678164443764</v>
      </c>
      <c r="P105" s="3" t="n">
        <v>6.708064516129033</v>
      </c>
      <c r="Q105" s="3" t="n">
        <v>4</v>
      </c>
      <c r="R105" s="2" t="n">
        <v>8888384</v>
      </c>
      <c r="S105" s="3" t="n">
        <v>8.49</v>
      </c>
      <c r="T105" s="3" t="n">
        <v>14.50602985788365</v>
      </c>
      <c r="U105" s="2" t="n">
        <v>6900174</v>
      </c>
      <c r="V105" s="3" t="n">
        <v>9.01</v>
      </c>
      <c r="W105" s="3" t="n">
        <v>13.11263267148013</v>
      </c>
      <c r="X105" t="inlineStr"/>
    </row>
    <row r="106">
      <c r="A106" t="inlineStr">
        <is>
          <t>2018-09</t>
        </is>
      </c>
      <c r="B106" s="2" t="n">
        <v>36500000</v>
      </c>
      <c r="C106" s="2" t="n">
        <v>1191.5</v>
      </c>
      <c r="D106" s="2" t="n">
        <v>33571810.64831933</v>
      </c>
      <c r="E106" s="2" t="n">
        <v>2928189.351680674</v>
      </c>
      <c r="F106" s="2" t="n">
        <v>23370</v>
      </c>
      <c r="G106" s="2" t="n">
        <v>22714</v>
      </c>
      <c r="H106" s="2" t="n">
        <v>1017.13</v>
      </c>
      <c r="I106" s="3" t="n">
        <v>6.724166666666667</v>
      </c>
      <c r="J106" s="3" t="n">
        <v>4.73825</v>
      </c>
      <c r="K106" s="3" t="n">
        <v>-0.2732240437158473</v>
      </c>
      <c r="L106" s="3" t="n">
        <v>-4.531106108491311</v>
      </c>
      <c r="M106" s="3" t="n">
        <v>2.680140597539538</v>
      </c>
      <c r="N106" s="3" t="n">
        <v>1.08589230084557</v>
      </c>
      <c r="O106" s="3" t="n">
        <v>26.44265433480024</v>
      </c>
      <c r="P106" s="3" t="n">
        <v>6.816666666666666</v>
      </c>
      <c r="Q106" s="3" t="n">
        <v>4</v>
      </c>
      <c r="R106" s="2" t="n">
        <v>8933435</v>
      </c>
      <c r="S106" s="3" t="n">
        <v>9.039999999999999</v>
      </c>
      <c r="T106" s="3" t="n">
        <v>13.40080096443745</v>
      </c>
      <c r="U106" s="2" t="n">
        <v>6985654</v>
      </c>
      <c r="V106" s="3" t="n">
        <v>10.36</v>
      </c>
      <c r="W106" s="3" t="n">
        <v>13.07449603422153</v>
      </c>
      <c r="X106" s="3" t="n">
        <v>6.8</v>
      </c>
    </row>
    <row r="107">
      <c r="A107" t="inlineStr">
        <is>
          <t>2018-10</t>
        </is>
      </c>
      <c r="B107" s="2" t="n">
        <v>36500000</v>
      </c>
      <c r="C107" s="2" t="n">
        <v>1212.300048828125</v>
      </c>
      <c r="D107" s="2" t="n">
        <v>34187106.92778527</v>
      </c>
      <c r="E107" s="2" t="n">
        <v>2312893.07221473</v>
      </c>
      <c r="F107" s="2" t="n">
        <v>23390</v>
      </c>
      <c r="G107" s="2" t="n">
        <v>22726</v>
      </c>
      <c r="H107" s="3" t="n">
        <v>914.76</v>
      </c>
      <c r="I107" s="3" t="n">
        <v>6.75</v>
      </c>
      <c r="J107" s="3" t="n">
        <v>4.73825</v>
      </c>
      <c r="K107" s="3" t="n">
        <v>-0.2186987424822262</v>
      </c>
      <c r="L107" s="3" t="n">
        <v>-1.647163447811262</v>
      </c>
      <c r="M107" s="3" t="n">
        <v>2.790595473522295</v>
      </c>
      <c r="N107" s="3" t="n">
        <v>1.134795959236357</v>
      </c>
      <c r="O107" s="3" t="n">
        <v>9.253774125740488</v>
      </c>
      <c r="P107" s="3" t="n">
        <v>6.7</v>
      </c>
      <c r="Q107" s="3" t="n">
        <v>3.9</v>
      </c>
      <c r="R107" s="2" t="n">
        <v>8999033</v>
      </c>
      <c r="S107" s="3" t="n">
        <v>9.84</v>
      </c>
      <c r="T107" s="3" t="n">
        <v>13.89073313267848</v>
      </c>
      <c r="U107" s="2" t="n">
        <v>7038597</v>
      </c>
      <c r="V107" s="3" t="n">
        <v>11.19</v>
      </c>
      <c r="W107" s="3" t="n">
        <v>12.41219046781568</v>
      </c>
      <c r="X107" t="inlineStr"/>
    </row>
    <row r="108">
      <c r="A108" t="inlineStr">
        <is>
          <t>2018-11</t>
        </is>
      </c>
      <c r="B108" s="2" t="n">
        <v>36480000</v>
      </c>
      <c r="C108" s="2" t="n">
        <v>1220.199951171875</v>
      </c>
      <c r="D108" s="2" t="n">
        <v>34373107.35825252</v>
      </c>
      <c r="E108" s="2" t="n">
        <v>2106892.641747482</v>
      </c>
      <c r="F108" s="2" t="n">
        <v>23365</v>
      </c>
      <c r="G108" s="2" t="n">
        <v>22750</v>
      </c>
      <c r="H108" s="3" t="n">
        <v>926.54</v>
      </c>
      <c r="I108" s="3" t="n">
        <v>6.772499999999999</v>
      </c>
      <c r="J108" s="3" t="n">
        <v>4.73825</v>
      </c>
      <c r="K108" s="3" t="n">
        <v>-0.08216926869351049</v>
      </c>
      <c r="L108" s="3" t="n">
        <v>-1.593601995451055</v>
      </c>
      <c r="M108" s="3" t="n">
        <v>2.680729509997803</v>
      </c>
      <c r="N108" s="3" t="n">
        <v>1.413096777069489</v>
      </c>
      <c r="O108" s="3" t="n">
        <v>-2.46228669480909</v>
      </c>
      <c r="P108" s="3" t="n">
        <v>6.7</v>
      </c>
      <c r="Q108" s="3" t="n">
        <v>3.5</v>
      </c>
      <c r="R108" s="2" t="n">
        <v>9061689</v>
      </c>
      <c r="S108" s="3" t="n">
        <v>10.6</v>
      </c>
      <c r="T108" s="3" t="n">
        <v>12.39198241356112</v>
      </c>
      <c r="U108" s="2" t="n">
        <v>7111011</v>
      </c>
      <c r="V108" s="3" t="n">
        <v>12.34</v>
      </c>
      <c r="W108" s="3" t="n">
        <v>11.62155215625269</v>
      </c>
      <c r="X108" t="inlineStr"/>
    </row>
    <row r="109">
      <c r="A109" t="inlineStr">
        <is>
          <t>2018-12</t>
        </is>
      </c>
      <c r="B109" s="2" t="n">
        <v>36570000</v>
      </c>
      <c r="C109" s="2" t="n">
        <v>1278.300048828125</v>
      </c>
      <c r="D109" s="2" t="n">
        <v>35824848.4515526</v>
      </c>
      <c r="E109" s="2" t="n">
        <v>745151.5484474003</v>
      </c>
      <c r="F109" s="2" t="n">
        <v>23245</v>
      </c>
      <c r="G109" s="2" t="n">
        <v>22825</v>
      </c>
      <c r="H109" s="3" t="n">
        <v>892.54</v>
      </c>
      <c r="I109" s="3" t="n">
        <v>6.823387096774193</v>
      </c>
      <c r="J109" s="3" t="n">
        <v>4.73825</v>
      </c>
      <c r="K109" s="3" t="n">
        <v>0.3567508232711347</v>
      </c>
      <c r="L109" s="3" t="n">
        <v>0.05169589430251698</v>
      </c>
      <c r="M109" s="3" t="n">
        <v>2.243237299318235</v>
      </c>
      <c r="N109" s="3" t="n">
        <v>1.783723522853964</v>
      </c>
      <c r="O109" s="3" t="n">
        <v>-9.316833292692838</v>
      </c>
      <c r="P109" s="3" t="n">
        <v>6.699193548387096</v>
      </c>
      <c r="Q109" s="3" t="n">
        <v>3</v>
      </c>
      <c r="R109" s="2" t="n">
        <v>9121583</v>
      </c>
      <c r="S109" s="3" t="n">
        <v>12.44</v>
      </c>
      <c r="T109" s="3" t="n">
        <v>11.340000693313</v>
      </c>
      <c r="U109" s="2" t="n">
        <v>7375669.11</v>
      </c>
      <c r="V109" s="3" t="n">
        <v>13.92</v>
      </c>
      <c r="W109" s="3" t="n">
        <v>13.92</v>
      </c>
      <c r="X109" s="3" t="n">
        <v>7.3</v>
      </c>
    </row>
    <row r="110">
      <c r="A110" t="inlineStr">
        <is>
          <t>2019-01</t>
        </is>
      </c>
      <c r="B110" s="2" t="n">
        <v>37100000</v>
      </c>
      <c r="C110" s="2" t="n">
        <v>1319.699951171875</v>
      </c>
      <c r="D110" s="2" t="n">
        <v>36993052.06577969</v>
      </c>
      <c r="E110" s="2" t="n">
        <v>106947.934220314</v>
      </c>
      <c r="F110" s="2" t="n">
        <v>23250</v>
      </c>
      <c r="G110" s="2" t="n">
        <v>22868</v>
      </c>
      <c r="H110" s="3" t="n">
        <v>910.65</v>
      </c>
      <c r="I110" s="3" t="n">
        <v>6.825</v>
      </c>
      <c r="J110" s="3" t="n">
        <v>4.975</v>
      </c>
      <c r="K110" s="3" t="n">
        <v>0.5965292841648484</v>
      </c>
      <c r="L110" s="3" t="n">
        <v>0.7468879314334931</v>
      </c>
      <c r="M110" s="3" t="n">
        <v>2.220268190811159</v>
      </c>
      <c r="N110" s="3" t="n">
        <v>1.902767256361115</v>
      </c>
      <c r="O110" s="3" t="n">
        <v>-17.9860585755971</v>
      </c>
      <c r="P110" s="3" t="n">
        <v>6.675</v>
      </c>
      <c r="Q110" s="3" t="n">
        <v>2.6</v>
      </c>
      <c r="R110" s="2" t="n">
        <v>9488086</v>
      </c>
      <c r="S110" s="3" t="n">
        <v>3</v>
      </c>
      <c r="T110" s="3" t="n">
        <v>14.36285892502538</v>
      </c>
      <c r="U110" s="2" t="n">
        <v>7348531</v>
      </c>
      <c r="V110" s="3" t="n">
        <v>1.9</v>
      </c>
      <c r="W110" s="3" t="n">
        <v>14.9806656101426</v>
      </c>
      <c r="X110" t="inlineStr"/>
    </row>
    <row r="111">
      <c r="A111" t="inlineStr">
        <is>
          <t>2019-02</t>
        </is>
      </c>
      <c r="B111" s="2" t="n">
        <v>37000000</v>
      </c>
      <c r="C111" s="2" t="n">
        <v>1312.800048828125</v>
      </c>
      <c r="D111" s="2" t="n">
        <v>36799638.06555602</v>
      </c>
      <c r="E111" s="2" t="n">
        <v>200361.9344439805</v>
      </c>
      <c r="F111" s="2" t="n">
        <v>23250</v>
      </c>
      <c r="G111" s="2" t="n">
        <v>22915</v>
      </c>
      <c r="H111" s="3" t="n">
        <v>965.47</v>
      </c>
      <c r="I111" s="3" t="n">
        <v>6.825</v>
      </c>
      <c r="J111" s="3" t="n">
        <v>4.975</v>
      </c>
      <c r="K111" s="3" t="n">
        <v>0.8174386920980936</v>
      </c>
      <c r="L111" s="3" t="n">
        <v>1.831386283490022</v>
      </c>
      <c r="M111" s="3" t="n">
        <v>2.040816326530615</v>
      </c>
      <c r="N111" s="3" t="n">
        <v>2.012197836442153</v>
      </c>
      <c r="O111" s="3" t="n">
        <v>-14.1705263719363</v>
      </c>
      <c r="P111" s="3" t="n">
        <v>6.675</v>
      </c>
      <c r="Q111" s="3" t="n">
        <v>2.6</v>
      </c>
      <c r="R111" s="2" t="n">
        <v>9376631</v>
      </c>
      <c r="S111" s="3" t="n">
        <v>1.78</v>
      </c>
      <c r="T111" s="3" t="n">
        <v>11.60617810985469</v>
      </c>
      <c r="U111" s="2" t="n">
        <v>7288020</v>
      </c>
      <c r="V111" s="3" t="n">
        <v>1.07</v>
      </c>
      <c r="W111" s="3" t="n">
        <v>13.58285883397454</v>
      </c>
      <c r="X111" t="inlineStr"/>
    </row>
    <row r="112">
      <c r="A112" t="inlineStr">
        <is>
          <t>2019-03</t>
        </is>
      </c>
      <c r="B112" s="2" t="n">
        <v>36550000</v>
      </c>
      <c r="C112" s="2" t="n">
        <v>1293</v>
      </c>
      <c r="D112" s="2" t="n">
        <v>41046051.89126626</v>
      </c>
      <c r="E112" s="2" t="n">
        <v>-4496051.891266257</v>
      </c>
      <c r="F112" s="2" t="n">
        <v>26330</v>
      </c>
      <c r="G112" s="2" t="n">
        <v>22980</v>
      </c>
      <c r="H112" s="3" t="n">
        <v>980.76</v>
      </c>
      <c r="I112" s="3" t="n">
        <v>6.825</v>
      </c>
      <c r="J112" s="3" t="n">
        <v>4.975</v>
      </c>
      <c r="K112" s="3" t="n">
        <v>-0.6793478260869512</v>
      </c>
      <c r="L112" s="3" t="n">
        <v>12.78193503210356</v>
      </c>
      <c r="M112" s="3" t="n">
        <v>15.38124452234881</v>
      </c>
      <c r="N112" s="3" t="n">
        <v>2.324338765695977</v>
      </c>
      <c r="O112" s="3" t="n">
        <v>-16.49268600037465</v>
      </c>
      <c r="P112" s="3" t="n">
        <v>6.62983870967742</v>
      </c>
      <c r="Q112" s="3" t="n">
        <v>2.7</v>
      </c>
      <c r="R112" s="2" t="n">
        <v>9478157</v>
      </c>
      <c r="S112" s="3" t="n">
        <v>2.89</v>
      </c>
      <c r="T112" s="3" t="n">
        <v>11.23163939670686</v>
      </c>
      <c r="U112" s="2" t="n">
        <v>7437086</v>
      </c>
      <c r="V112" s="3" t="n">
        <v>3.13</v>
      </c>
      <c r="W112" s="3" t="n">
        <v>13.44698339127075</v>
      </c>
      <c r="X112" s="3" t="n">
        <v>6.8</v>
      </c>
    </row>
    <row r="113">
      <c r="A113" t="inlineStr">
        <is>
          <t>2019-04</t>
        </is>
      </c>
      <c r="B113" s="2" t="n">
        <v>36500000</v>
      </c>
      <c r="C113" s="2" t="n">
        <v>1282.800048828125</v>
      </c>
      <c r="D113" s="2" t="n">
        <v>36082424.57339225</v>
      </c>
      <c r="E113" s="2" t="n">
        <v>417575.4266077504</v>
      </c>
      <c r="F113" s="2" t="n">
        <v>23330</v>
      </c>
      <c r="G113" s="2" t="n">
        <v>23028</v>
      </c>
      <c r="H113" s="3" t="n">
        <v>979.64</v>
      </c>
      <c r="I113" s="3" t="n">
        <v>6.825</v>
      </c>
      <c r="J113" s="3" t="n">
        <v>4.975</v>
      </c>
      <c r="K113" s="3" t="n">
        <v>-1.003525901817193</v>
      </c>
      <c r="L113" s="3" t="n">
        <v>-0.2720276293364021</v>
      </c>
      <c r="M113" s="3" t="n">
        <v>2.324561403508763</v>
      </c>
      <c r="N113" s="3" t="n">
        <v>2.169572740582981</v>
      </c>
      <c r="O113" s="3" t="n">
        <v>-6.724049283034672</v>
      </c>
      <c r="P113" s="3" t="n">
        <v>6.65</v>
      </c>
      <c r="Q113" s="3" t="n">
        <v>2.9</v>
      </c>
      <c r="R113" s="2" t="n">
        <v>9546608</v>
      </c>
      <c r="S113" s="3" t="n">
        <v>3.63</v>
      </c>
      <c r="T113" s="3" t="n">
        <v>10.22199438764937</v>
      </c>
      <c r="U113" s="2" t="n">
        <v>7532976</v>
      </c>
      <c r="V113" s="3" t="n">
        <v>4.46</v>
      </c>
      <c r="W113" s="3" t="n">
        <v>13.19398078569392</v>
      </c>
      <c r="X113" t="inlineStr"/>
    </row>
    <row r="114">
      <c r="A114" t="inlineStr">
        <is>
          <t>2019-05</t>
        </is>
      </c>
      <c r="B114" s="2" t="n">
        <v>36500000</v>
      </c>
      <c r="C114" s="2" t="n">
        <v>1305.800048828125</v>
      </c>
      <c r="D114" s="2" t="n">
        <v>36965516.51721395</v>
      </c>
      <c r="E114" s="2" t="n">
        <v>-465516.5172139481</v>
      </c>
      <c r="F114" s="2" t="n">
        <v>23480</v>
      </c>
      <c r="G114" s="2" t="n">
        <v>23065</v>
      </c>
      <c r="H114" s="3" t="n">
        <v>959.88</v>
      </c>
      <c r="I114" s="3" t="n">
        <v>6.825</v>
      </c>
      <c r="J114" s="3" t="n">
        <v>4.975</v>
      </c>
      <c r="K114" s="3" t="n">
        <v>-0.5991285403050162</v>
      </c>
      <c r="L114" s="3" t="n">
        <v>3.139926417003847</v>
      </c>
      <c r="M114" s="3" t="n">
        <v>2.689700415482177</v>
      </c>
      <c r="N114" s="3" t="n">
        <v>2.080106218189859</v>
      </c>
      <c r="O114" s="3" t="n">
        <v>-1.170656370656376</v>
      </c>
      <c r="P114" s="3" t="n">
        <v>6.691935483870968</v>
      </c>
      <c r="Q114" s="3" t="n">
        <v>2.9</v>
      </c>
      <c r="R114" s="2" t="n">
        <v>9706888</v>
      </c>
      <c r="S114" s="3" t="n">
        <v>5.37</v>
      </c>
      <c r="T114" s="3" t="n">
        <v>10.83974263233209</v>
      </c>
      <c r="U114" s="2" t="n">
        <v>7628015.24</v>
      </c>
      <c r="V114" s="3" t="n">
        <v>5.78</v>
      </c>
      <c r="W114" s="3" t="n">
        <v>13.44810393522877</v>
      </c>
      <c r="X114" t="inlineStr"/>
    </row>
    <row r="115">
      <c r="A115" t="inlineStr">
        <is>
          <t>2019-06</t>
        </is>
      </c>
      <c r="B115" s="2" t="n">
        <v>38900000</v>
      </c>
      <c r="C115" s="2" t="n">
        <v>1409.699951171875</v>
      </c>
      <c r="D115" s="2" t="n">
        <v>39685839.84904828</v>
      </c>
      <c r="E115" s="2" t="n">
        <v>-785839.8490482792</v>
      </c>
      <c r="F115" s="2" t="n">
        <v>23350</v>
      </c>
      <c r="G115" s="2" t="n">
        <v>23066</v>
      </c>
      <c r="H115" s="3" t="n">
        <v>949.9400000000001</v>
      </c>
      <c r="I115" s="3" t="n">
        <v>6.825</v>
      </c>
      <c r="J115" s="3" t="n">
        <v>4.975</v>
      </c>
      <c r="K115" s="3" t="n">
        <v>5.649103747963058</v>
      </c>
      <c r="L115" s="3" t="n">
        <v>14.42294906867501</v>
      </c>
      <c r="M115" s="3" t="n">
        <v>1.565898216615924</v>
      </c>
      <c r="N115" s="3" t="n">
        <v>1.83664459161148</v>
      </c>
      <c r="O115" s="3" t="n">
        <v>-1.12824996357126</v>
      </c>
      <c r="P115" s="3" t="n">
        <v>6.7</v>
      </c>
      <c r="Q115" s="3" t="n">
        <v>2.2</v>
      </c>
      <c r="R115" s="2" t="n">
        <v>9866484</v>
      </c>
      <c r="S115" s="3" t="n">
        <v>7.11</v>
      </c>
      <c r="T115" s="3" t="n">
        <v>11.11428443365916</v>
      </c>
      <c r="U115" s="2" t="n">
        <v>7742083</v>
      </c>
      <c r="V115" s="3" t="n">
        <v>7.36</v>
      </c>
      <c r="W115" s="3" t="n">
        <v>13.39190802892638</v>
      </c>
      <c r="X115" s="3" t="n">
        <v>6.7</v>
      </c>
    </row>
    <row r="116">
      <c r="A116" t="inlineStr">
        <is>
          <t>2019-07</t>
        </is>
      </c>
      <c r="B116" s="2" t="n">
        <v>39800000</v>
      </c>
      <c r="C116" s="2" t="n">
        <v>1426.099975585938</v>
      </c>
      <c r="D116" s="2" t="n">
        <v>39992788.71203673</v>
      </c>
      <c r="E116" s="2" t="n">
        <v>-192788.7120367289</v>
      </c>
      <c r="F116" s="2" t="n">
        <v>23260</v>
      </c>
      <c r="G116" s="2" t="n">
        <v>23073</v>
      </c>
      <c r="H116" s="3" t="n">
        <v>991.66</v>
      </c>
      <c r="I116" s="3" t="n">
        <v>6.825</v>
      </c>
      <c r="J116" s="3" t="n">
        <v>4.975</v>
      </c>
      <c r="K116" s="3" t="n">
        <v>8.034744842562436</v>
      </c>
      <c r="L116" s="3" t="n">
        <v>16.29002573028993</v>
      </c>
      <c r="M116" s="3" t="n">
        <v>-0.2145002145002128</v>
      </c>
      <c r="N116" s="3" t="n">
        <v>1.782169482553275</v>
      </c>
      <c r="O116" s="3" t="n">
        <v>3.687826096048674</v>
      </c>
      <c r="P116" s="3" t="n">
        <v>6.625</v>
      </c>
      <c r="Q116" s="3" t="n">
        <v>2.4</v>
      </c>
      <c r="R116" s="2" t="n">
        <v>9860081</v>
      </c>
      <c r="S116" s="3" t="n">
        <v>7.04</v>
      </c>
      <c r="T116" s="3" t="n">
        <v>11.50718706545351</v>
      </c>
      <c r="U116" s="2" t="n">
        <v>7750773</v>
      </c>
      <c r="V116" s="3" t="n">
        <v>7.48</v>
      </c>
      <c r="W116" s="3" t="n">
        <v>13.26661979648474</v>
      </c>
      <c r="X116" t="inlineStr"/>
    </row>
    <row r="117">
      <c r="A117" t="inlineStr">
        <is>
          <t>2019-08</t>
        </is>
      </c>
      <c r="B117" s="2" t="n">
        <v>42600000</v>
      </c>
      <c r="C117" s="2" t="n">
        <v>1519.099975585938</v>
      </c>
      <c r="D117" s="2" t="n">
        <v>42582516.15458034</v>
      </c>
      <c r="E117" s="2" t="n">
        <v>17483.84541966021</v>
      </c>
      <c r="F117" s="2" t="n">
        <v>23250</v>
      </c>
      <c r="G117" s="2" t="n">
        <v>23133</v>
      </c>
      <c r="H117" s="3" t="n">
        <v>984.0599999999999</v>
      </c>
      <c r="I117" s="3" t="n">
        <v>6.892741935483872</v>
      </c>
      <c r="J117" s="3" t="n">
        <v>4.975</v>
      </c>
      <c r="K117" s="3" t="n">
        <v>15.98148652327798</v>
      </c>
      <c r="L117" s="3" t="n">
        <v>26.07199883689277</v>
      </c>
      <c r="M117" s="3" t="n">
        <v>-0.3856041131105381</v>
      </c>
      <c r="N117" s="3" t="n">
        <v>2.006349766293325</v>
      </c>
      <c r="O117" s="3" t="n">
        <v>-0.5537926713422459</v>
      </c>
      <c r="P117" s="3" t="n">
        <v>6.668548387096774</v>
      </c>
      <c r="Q117" s="3" t="n">
        <v>2.3</v>
      </c>
      <c r="R117" s="2" t="n">
        <v>9949135</v>
      </c>
      <c r="S117" s="3" t="n">
        <v>8</v>
      </c>
      <c r="T117" s="3" t="n">
        <v>11.93412660839135</v>
      </c>
      <c r="U117" s="2" t="n">
        <v>7799732</v>
      </c>
      <c r="V117" s="3" t="n">
        <v>8.16</v>
      </c>
      <c r="W117" s="3" t="n">
        <v>13.0317145216035</v>
      </c>
      <c r="X117" t="inlineStr"/>
    </row>
    <row r="118">
      <c r="A118" t="inlineStr">
        <is>
          <t>2019-09</t>
        </is>
      </c>
      <c r="B118" s="2" t="n">
        <v>41800000</v>
      </c>
      <c r="C118" s="2" t="n">
        <v>1465.699951171875</v>
      </c>
      <c r="D118" s="2" t="n">
        <v>41120980.59354598</v>
      </c>
      <c r="E118" s="2" t="n">
        <v>679019.4064540192</v>
      </c>
      <c r="F118" s="2" t="n">
        <v>23270</v>
      </c>
      <c r="G118" s="2" t="n">
        <v>23161</v>
      </c>
      <c r="H118" s="3" t="n">
        <v>996.5599999999999</v>
      </c>
      <c r="I118" s="3" t="n">
        <v>6.850000000000001</v>
      </c>
      <c r="J118" s="3" t="n">
        <v>4.975</v>
      </c>
      <c r="K118" s="3" t="n">
        <v>14.52054794520548</v>
      </c>
      <c r="L118" s="3" t="n">
        <v>22.48663327786458</v>
      </c>
      <c r="M118" s="3" t="n">
        <v>-0.4278990158322671</v>
      </c>
      <c r="N118" s="3" t="n">
        <v>1.96794928238091</v>
      </c>
      <c r="O118" s="3" t="n">
        <v>-2.022357024175869</v>
      </c>
      <c r="P118" s="3" t="n">
        <v>6.724166666666667</v>
      </c>
      <c r="Q118" s="3" t="n">
        <v>2</v>
      </c>
      <c r="R118" s="2" t="n">
        <v>10083735</v>
      </c>
      <c r="S118" s="3" t="n">
        <v>9.460000000000001</v>
      </c>
      <c r="T118" s="3" t="n">
        <v>12.87634599680862</v>
      </c>
      <c r="U118" s="2" t="n">
        <v>7888910</v>
      </c>
      <c r="V118" s="3" t="n">
        <v>9.4</v>
      </c>
      <c r="W118" s="3" t="n">
        <v>12.92903225806454</v>
      </c>
      <c r="X118" s="3" t="n">
        <v>7.5</v>
      </c>
    </row>
    <row r="119">
      <c r="A119" t="inlineStr">
        <is>
          <t>2019-10</t>
        </is>
      </c>
      <c r="B119" s="2" t="n">
        <v>41960000</v>
      </c>
      <c r="C119" s="2" t="n">
        <v>1511.400024414062</v>
      </c>
      <c r="D119" s="2" t="n">
        <v>42403120.10880837</v>
      </c>
      <c r="E119" s="2" t="n">
        <v>-443120.1088083684</v>
      </c>
      <c r="F119" s="2" t="n">
        <v>23270</v>
      </c>
      <c r="G119" s="2" t="n">
        <v>23145</v>
      </c>
      <c r="H119" s="3" t="n">
        <v>998.8200000000001</v>
      </c>
      <c r="I119" s="3" t="n">
        <v>6.891935483870968</v>
      </c>
      <c r="J119" s="3" t="n">
        <v>4.975</v>
      </c>
      <c r="K119" s="3" t="n">
        <v>14.95890410958904</v>
      </c>
      <c r="L119" s="3" t="n">
        <v>24.03249037240296</v>
      </c>
      <c r="M119" s="3" t="n">
        <v>-0.5130397605814463</v>
      </c>
      <c r="N119" s="3" t="n">
        <v>1.843703247381856</v>
      </c>
      <c r="O119" s="3" t="n">
        <v>9.189295552931931</v>
      </c>
      <c r="P119" s="3" t="n">
        <v>6.75</v>
      </c>
      <c r="Q119" s="3" t="n">
        <v>2.2</v>
      </c>
      <c r="R119" s="2" t="n">
        <v>10138630</v>
      </c>
      <c r="S119" s="3" t="n">
        <v>10.06</v>
      </c>
      <c r="T119" s="3" t="n">
        <v>12.66354951693143</v>
      </c>
      <c r="U119" s="2" t="n">
        <v>7934649</v>
      </c>
      <c r="V119" s="3" t="n">
        <v>10.03</v>
      </c>
      <c r="W119" s="3" t="n">
        <v>12.73151902149474</v>
      </c>
      <c r="X119" t="inlineStr"/>
    </row>
    <row r="120">
      <c r="A120" t="inlineStr">
        <is>
          <t>2019-11</t>
        </is>
      </c>
      <c r="B120" s="2" t="n">
        <v>41470000</v>
      </c>
      <c r="C120" s="2" t="n">
        <v>1465.599975585938</v>
      </c>
      <c r="D120" s="2" t="n">
        <v>41074000.63396619</v>
      </c>
      <c r="E120" s="2" t="n">
        <v>395999.3660338148</v>
      </c>
      <c r="F120" s="2" t="n">
        <v>23245</v>
      </c>
      <c r="G120" s="2" t="n">
        <v>23162</v>
      </c>
      <c r="H120" s="3" t="n">
        <v>970.75</v>
      </c>
      <c r="I120" s="3" t="n">
        <v>6.9</v>
      </c>
      <c r="J120" s="3" t="n">
        <v>4.975</v>
      </c>
      <c r="K120" s="3" t="n">
        <v>13.67872807017543</v>
      </c>
      <c r="L120" s="3" t="n">
        <v>19.49458105685309</v>
      </c>
      <c r="M120" s="3" t="n">
        <v>-0.5135887010485729</v>
      </c>
      <c r="N120" s="3" t="n">
        <v>1.810989010989017</v>
      </c>
      <c r="O120" s="3" t="n">
        <v>4.771515530899917</v>
      </c>
      <c r="P120" s="3" t="n">
        <v>6.772499999999999</v>
      </c>
      <c r="Q120" s="3" t="n">
        <v>3.5</v>
      </c>
      <c r="R120" s="2" t="n">
        <v>10274960</v>
      </c>
      <c r="S120" s="3" t="n">
        <v>11.54</v>
      </c>
      <c r="T120" s="3" t="n">
        <v>13.38901610946921</v>
      </c>
      <c r="U120" s="2" t="n">
        <v>8004063</v>
      </c>
      <c r="V120" s="3" t="n">
        <v>11</v>
      </c>
      <c r="W120" s="3" t="n">
        <v>12.56115364073349</v>
      </c>
      <c r="X120" t="inlineStr"/>
    </row>
    <row r="121">
      <c r="A121" t="inlineStr">
        <is>
          <t>2019-12</t>
        </is>
      </c>
      <c r="B121" s="2" t="n">
        <v>42750000</v>
      </c>
      <c r="C121" s="2" t="n">
        <v>1519.5</v>
      </c>
      <c r="D121" s="2" t="n">
        <v>42557089.63621458</v>
      </c>
      <c r="E121" s="2" t="n">
        <v>192910.3637854233</v>
      </c>
      <c r="F121" s="2" t="n">
        <v>23230</v>
      </c>
      <c r="G121" s="2" t="n">
        <v>23155</v>
      </c>
      <c r="H121" s="3" t="n">
        <v>960.99</v>
      </c>
      <c r="I121" s="3" t="n">
        <v>6.8</v>
      </c>
      <c r="J121" s="3" t="n">
        <v>4.975</v>
      </c>
      <c r="K121" s="3" t="n">
        <v>16.89909762100081</v>
      </c>
      <c r="L121" s="3" t="n">
        <v>18.79209955002674</v>
      </c>
      <c r="M121" s="3" t="n">
        <v>-0.06453000645300078</v>
      </c>
      <c r="N121" s="3" t="n">
        <v>1.445783132530121</v>
      </c>
      <c r="O121" s="3" t="n">
        <v>7.669124072870681</v>
      </c>
      <c r="P121" s="3" t="n">
        <v>6.823387096774193</v>
      </c>
      <c r="Q121" s="3" t="n">
        <v>5.2</v>
      </c>
      <c r="R121" s="2" t="n">
        <v>10573725</v>
      </c>
      <c r="S121" s="3" t="n">
        <v>14.78</v>
      </c>
      <c r="T121" s="3" t="n">
        <v>15.91984636877173</v>
      </c>
      <c r="U121" s="2" t="n">
        <v>8195393</v>
      </c>
      <c r="V121" s="3" t="n">
        <v>13.65</v>
      </c>
      <c r="W121" s="3" t="n">
        <v>13.65000000000001</v>
      </c>
      <c r="X121" s="3" t="n">
        <v>7</v>
      </c>
    </row>
    <row r="122">
      <c r="A122" t="inlineStr">
        <is>
          <t>2020-01</t>
        </is>
      </c>
      <c r="B122" s="2" t="n">
        <v>44650000</v>
      </c>
      <c r="C122" s="2" t="n">
        <v>1582.900024414062</v>
      </c>
      <c r="D122" s="2" t="n">
        <v>44409090.09610883</v>
      </c>
      <c r="E122" s="2" t="n">
        <v>240909.9038911685</v>
      </c>
      <c r="F122" s="2" t="n">
        <v>23270</v>
      </c>
      <c r="G122" s="2" t="n">
        <v>23170</v>
      </c>
      <c r="H122" s="3" t="n">
        <v>936.62</v>
      </c>
      <c r="I122" s="3" t="n">
        <v>6.756451612903225</v>
      </c>
      <c r="J122" s="3" t="n">
        <v>4.12020833333333</v>
      </c>
      <c r="K122" s="3" t="n">
        <v>20.35040431266846</v>
      </c>
      <c r="L122" s="3" t="n">
        <v>20.04711051454262</v>
      </c>
      <c r="M122" s="3" t="n">
        <v>0.08602150537635467</v>
      </c>
      <c r="N122" s="3" t="n">
        <v>1.320622704215491</v>
      </c>
      <c r="O122" s="3" t="n">
        <v>2.851809147312356</v>
      </c>
      <c r="P122" s="3" t="n">
        <v>6.825</v>
      </c>
      <c r="Q122" s="3" t="n">
        <v>6.4</v>
      </c>
      <c r="R122" s="2" t="n">
        <v>10758024</v>
      </c>
      <c r="S122" s="3" t="n">
        <v>1.74</v>
      </c>
      <c r="T122" s="3" t="n">
        <v>13.38455406074523</v>
      </c>
      <c r="U122" s="2" t="n">
        <v>8203403.05</v>
      </c>
      <c r="V122" s="3" t="n">
        <v>0.1</v>
      </c>
      <c r="W122" s="3" t="n">
        <v>11.64244357212953</v>
      </c>
      <c r="X122" t="inlineStr"/>
    </row>
    <row r="123">
      <c r="A123" t="inlineStr">
        <is>
          <t>2020-02</t>
        </is>
      </c>
      <c r="B123" s="2" t="n">
        <v>45800000</v>
      </c>
      <c r="C123" s="2" t="n">
        <v>1564.099975585938</v>
      </c>
      <c r="D123" s="2" t="n">
        <v>43957075.28603077</v>
      </c>
      <c r="E123" s="2" t="n">
        <v>1842924.713969231</v>
      </c>
      <c r="F123" s="2" t="n">
        <v>23310</v>
      </c>
      <c r="G123" s="2" t="n">
        <v>23239</v>
      </c>
      <c r="H123" s="3" t="n">
        <v>882.1900000000001</v>
      </c>
      <c r="I123" s="3" t="n">
        <v>6.798275862068966</v>
      </c>
      <c r="J123" s="3" t="n">
        <v>4.12020833333333</v>
      </c>
      <c r="K123" s="3" t="n">
        <v>23.78378378378379</v>
      </c>
      <c r="L123" s="3" t="n">
        <v>19.44974895602034</v>
      </c>
      <c r="M123" s="3" t="n">
        <v>0.2580645161290418</v>
      </c>
      <c r="N123" s="3" t="n">
        <v>1.413921012437269</v>
      </c>
      <c r="O123" s="3" t="n">
        <v>-8.625850621976861</v>
      </c>
      <c r="P123" s="3" t="n">
        <v>6.825</v>
      </c>
      <c r="Q123" s="3" t="n">
        <v>5.4</v>
      </c>
      <c r="R123" s="2" t="n">
        <v>10672880</v>
      </c>
      <c r="S123" s="3" t="n">
        <v>0.9399999999999999</v>
      </c>
      <c r="T123" s="3" t="n">
        <v>13.82425094898156</v>
      </c>
      <c r="U123" s="2" t="n">
        <v>8209360</v>
      </c>
      <c r="V123" s="3" t="n">
        <v>0.17</v>
      </c>
      <c r="W123" s="3" t="n">
        <v>12.6379786286732</v>
      </c>
      <c r="X123" t="inlineStr"/>
    </row>
    <row r="124">
      <c r="A124" t="inlineStr">
        <is>
          <t>2020-03</t>
        </is>
      </c>
      <c r="B124" s="2" t="n">
        <v>48200000</v>
      </c>
      <c r="C124" s="2" t="n">
        <v>1583.400024414062</v>
      </c>
      <c r="D124" s="2" t="n">
        <v>45167639.38660847</v>
      </c>
      <c r="E124" s="2" t="n">
        <v>3032360.613391526</v>
      </c>
      <c r="F124" s="2" t="n">
        <v>23660</v>
      </c>
      <c r="G124" s="2" t="n">
        <v>23250</v>
      </c>
      <c r="H124" s="3" t="n">
        <v>662.53</v>
      </c>
      <c r="I124" s="3" t="n">
        <v>6.8</v>
      </c>
      <c r="J124" s="3" t="n">
        <v>4.12020833333333</v>
      </c>
      <c r="K124" s="3" t="n">
        <v>31.87414500683994</v>
      </c>
      <c r="L124" s="3" t="n">
        <v>10.04137378732692</v>
      </c>
      <c r="M124" s="3" t="n">
        <v>-10.14052411697683</v>
      </c>
      <c r="N124" s="3" t="n">
        <v>1.174934725848553</v>
      </c>
      <c r="O124" s="3" t="n">
        <v>-32.44728577837596</v>
      </c>
      <c r="P124" s="3" t="n">
        <v>6.825</v>
      </c>
      <c r="Q124" s="3" t="n">
        <v>4.9</v>
      </c>
      <c r="R124" s="2" t="n">
        <v>10755572</v>
      </c>
      <c r="S124" s="3" t="n">
        <v>1.72</v>
      </c>
      <c r="T124" s="3" t="n">
        <v>13.47746191585559</v>
      </c>
      <c r="U124" s="2" t="n">
        <v>8302412</v>
      </c>
      <c r="V124" s="3" t="n">
        <v>1.31</v>
      </c>
      <c r="W124" s="3" t="n">
        <v>11.6443469407544</v>
      </c>
      <c r="X124" s="3" t="n">
        <v>3.7</v>
      </c>
    </row>
    <row r="125">
      <c r="A125" t="inlineStr">
        <is>
          <t>2020-04</t>
        </is>
      </c>
      <c r="B125" s="2" t="n">
        <v>48500000</v>
      </c>
      <c r="C125" s="2" t="n">
        <v>1684.199951171875</v>
      </c>
      <c r="D125" s="2" t="n">
        <v>47738446.86134694</v>
      </c>
      <c r="E125" s="2" t="n">
        <v>761553.1386530623</v>
      </c>
      <c r="F125" s="2" t="n">
        <v>23510</v>
      </c>
      <c r="G125" s="2" t="n">
        <v>23272</v>
      </c>
      <c r="H125" s="3" t="n">
        <v>769.11</v>
      </c>
      <c r="I125" s="3" t="n">
        <v>6.756666666666666</v>
      </c>
      <c r="J125" s="3" t="n">
        <v>4.12020833333333</v>
      </c>
      <c r="K125" s="3" t="n">
        <v>32.87671232876712</v>
      </c>
      <c r="L125" s="3" t="n">
        <v>32.30387765169755</v>
      </c>
      <c r="M125" s="3" t="n">
        <v>0.771538791255888</v>
      </c>
      <c r="N125" s="3" t="n">
        <v>1.059579642174735</v>
      </c>
      <c r="O125" s="3" t="n">
        <v>-21.49054754807889</v>
      </c>
      <c r="P125" s="3" t="n">
        <v>6.825</v>
      </c>
      <c r="Q125" s="3" t="n">
        <v>2.9</v>
      </c>
      <c r="R125" s="2" t="n">
        <v>10779851</v>
      </c>
      <c r="S125" s="3" t="n">
        <v>1.95</v>
      </c>
      <c r="T125" s="3" t="n">
        <v>12.91812756949904</v>
      </c>
      <c r="U125" s="2" t="n">
        <v>8311303</v>
      </c>
      <c r="V125" s="3" t="n">
        <v>1.41</v>
      </c>
      <c r="W125" s="3" t="n">
        <v>10.33167241049206</v>
      </c>
      <c r="X125" t="inlineStr"/>
    </row>
    <row r="126">
      <c r="A126" t="inlineStr">
        <is>
          <t>2020-05</t>
        </is>
      </c>
      <c r="B126" s="2" t="n">
        <v>48900000</v>
      </c>
      <c r="C126" s="2" t="n">
        <v>1751.699951171875</v>
      </c>
      <c r="D126" s="2" t="n">
        <v>49356054.61469777</v>
      </c>
      <c r="E126" s="2" t="n">
        <v>-456054.6146977693</v>
      </c>
      <c r="F126" s="2" t="n">
        <v>23370</v>
      </c>
      <c r="G126" s="2" t="n">
        <v>23257</v>
      </c>
      <c r="H126" s="3" t="n">
        <v>864.47</v>
      </c>
      <c r="I126" s="3" t="n">
        <v>6.719354838709678</v>
      </c>
      <c r="J126" s="3" t="n">
        <v>4.12020833333333</v>
      </c>
      <c r="K126" s="3" t="n">
        <v>33.97260273972602</v>
      </c>
      <c r="L126" s="3" t="n">
        <v>33.51918021141094</v>
      </c>
      <c r="M126" s="3" t="n">
        <v>-0.4684838160136318</v>
      </c>
      <c r="N126" s="3" t="n">
        <v>0.8324300888792546</v>
      </c>
      <c r="O126" s="3" t="n">
        <v>-9.939784139684127</v>
      </c>
      <c r="P126" s="3" t="n">
        <v>6.825</v>
      </c>
      <c r="Q126" s="3" t="n">
        <v>2.4</v>
      </c>
      <c r="R126" s="2" t="n">
        <v>10928485</v>
      </c>
      <c r="S126" s="3" t="n">
        <v>3.36</v>
      </c>
      <c r="T126" s="3" t="n">
        <v>12.58484696640159</v>
      </c>
      <c r="U126" s="2" t="n">
        <v>8359045</v>
      </c>
      <c r="V126" s="3" t="n">
        <v>2</v>
      </c>
      <c r="W126" s="3" t="n">
        <v>9.58876914350537</v>
      </c>
      <c r="X126" t="inlineStr"/>
    </row>
    <row r="127">
      <c r="A127" t="inlineStr">
        <is>
          <t>2020-06</t>
        </is>
      </c>
      <c r="B127" s="2" t="n">
        <v>49390000</v>
      </c>
      <c r="C127" s="2" t="n">
        <v>1800.5</v>
      </c>
      <c r="D127" s="2" t="n">
        <v>50579094.79640555</v>
      </c>
      <c r="E127" s="2" t="n">
        <v>-1189094.796405554</v>
      </c>
      <c r="F127" s="2" t="n">
        <v>23300</v>
      </c>
      <c r="G127" s="2" t="n">
        <v>23230</v>
      </c>
      <c r="H127" s="3" t="n">
        <v>825.11</v>
      </c>
      <c r="I127" s="3" t="n">
        <v>6.5</v>
      </c>
      <c r="J127" s="3" t="n">
        <v>4.12020833333333</v>
      </c>
      <c r="K127" s="3" t="n">
        <v>26.96658097686375</v>
      </c>
      <c r="L127" s="3" t="n">
        <v>27.44871971663341</v>
      </c>
      <c r="M127" s="3" t="n">
        <v>-0.2141327623126354</v>
      </c>
      <c r="N127" s="3" t="n">
        <v>0.7110032081852014</v>
      </c>
      <c r="O127" s="3" t="n">
        <v>-13.14082994715456</v>
      </c>
      <c r="P127" s="3" t="n">
        <v>6.825</v>
      </c>
      <c r="Q127" s="3" t="n">
        <v>3.2</v>
      </c>
      <c r="R127" s="2" t="n">
        <v>11118423</v>
      </c>
      <c r="S127" s="3" t="n">
        <v>5.15</v>
      </c>
      <c r="T127" s="3" t="n">
        <v>12.6888058603247</v>
      </c>
      <c r="U127" s="2" t="n">
        <v>8494504</v>
      </c>
      <c r="V127" s="3" t="n">
        <v>3.65</v>
      </c>
      <c r="W127" s="3" t="n">
        <v>9.722638785394967</v>
      </c>
      <c r="X127" s="3" t="n">
        <v>0.4</v>
      </c>
    </row>
    <row r="128">
      <c r="A128" t="inlineStr">
        <is>
          <t>2020-07</t>
        </is>
      </c>
      <c r="B128" s="2" t="n">
        <v>57980000</v>
      </c>
      <c r="C128" s="2" t="n">
        <v>1962.800048828125</v>
      </c>
      <c r="D128" s="2" t="n">
        <v>55067384.46183364</v>
      </c>
      <c r="E128" s="2" t="n">
        <v>2912615.538166359</v>
      </c>
      <c r="F128" s="2" t="n">
        <v>23270</v>
      </c>
      <c r="G128" s="2" t="n">
        <v>23221</v>
      </c>
      <c r="H128" s="3" t="n">
        <v>798.39</v>
      </c>
      <c r="I128" s="3" t="n">
        <v>6.064516129032258</v>
      </c>
      <c r="J128" s="3" t="n">
        <v>4.12020833333333</v>
      </c>
      <c r="K128" s="3" t="n">
        <v>45.67839195979899</v>
      </c>
      <c r="L128" s="3" t="n">
        <v>37.69328480276715</v>
      </c>
      <c r="M128" s="3" t="n">
        <v>0.04299226139294898</v>
      </c>
      <c r="N128" s="3" t="n">
        <v>0.6414423785376933</v>
      </c>
      <c r="O128" s="3" t="n">
        <v>-19.48954278684226</v>
      </c>
      <c r="P128" s="3" t="n">
        <v>6.825</v>
      </c>
      <c r="Q128" s="3" t="n">
        <v>3.4</v>
      </c>
      <c r="R128" s="2" t="n">
        <v>11163361</v>
      </c>
      <c r="S128" s="3" t="n">
        <v>5.58</v>
      </c>
      <c r="T128" s="3" t="n">
        <v>13.21774131470117</v>
      </c>
      <c r="U128" s="2" t="n">
        <v>8527386</v>
      </c>
      <c r="V128" s="3" t="n">
        <v>4.05</v>
      </c>
      <c r="W128" s="3" t="n">
        <v>10.02309732043172</v>
      </c>
      <c r="X128" t="inlineStr"/>
    </row>
    <row r="129">
      <c r="A129" t="inlineStr">
        <is>
          <t>2020-08</t>
        </is>
      </c>
      <c r="B129" s="2" t="n">
        <v>57400000</v>
      </c>
      <c r="C129" s="2" t="n">
        <v>1978.599975585938</v>
      </c>
      <c r="D129" s="2" t="n">
        <v>55510659.69089264</v>
      </c>
      <c r="E129" s="2" t="n">
        <v>1889340.309107363</v>
      </c>
      <c r="F129" s="2" t="n">
        <v>23270</v>
      </c>
      <c r="G129" s="2" t="n">
        <v>23211</v>
      </c>
      <c r="H129" s="3" t="n">
        <v>881.65</v>
      </c>
      <c r="I129" s="3" t="n">
        <v>6</v>
      </c>
      <c r="J129" s="3" t="n">
        <v>4.12020833333333</v>
      </c>
      <c r="K129" s="3" t="n">
        <v>34.74178403755867</v>
      </c>
      <c r="L129" s="3" t="n">
        <v>30.36021518639569</v>
      </c>
      <c r="M129" s="3" t="n">
        <v>0.08602150537635467</v>
      </c>
      <c r="N129" s="3" t="n">
        <v>0.3371806510180209</v>
      </c>
      <c r="O129" s="3" t="n">
        <v>-10.40688575899843</v>
      </c>
      <c r="P129" s="3" t="n">
        <v>6.892741935483872</v>
      </c>
      <c r="Q129" s="3" t="n">
        <v>3.2</v>
      </c>
      <c r="R129" s="2" t="n">
        <v>11315994</v>
      </c>
      <c r="S129" s="3" t="n">
        <v>7.02</v>
      </c>
      <c r="T129" s="3" t="n">
        <v>13.73847073137513</v>
      </c>
      <c r="U129" s="2" t="n">
        <v>8590818</v>
      </c>
      <c r="V129" s="3" t="n">
        <v>4.82</v>
      </c>
      <c r="W129" s="3" t="n">
        <v>10.14046782544382</v>
      </c>
      <c r="X129" t="inlineStr"/>
    </row>
    <row r="130">
      <c r="A130" t="inlineStr">
        <is>
          <t>2020-09</t>
        </is>
      </c>
      <c r="B130" s="2" t="n">
        <v>55600000</v>
      </c>
      <c r="C130" s="2" t="n">
        <v>1895.5</v>
      </c>
      <c r="D130" s="2" t="n">
        <v>53179246.30668575</v>
      </c>
      <c r="E130" s="2" t="n">
        <v>2420753.693314254</v>
      </c>
      <c r="F130" s="2" t="n">
        <v>23270</v>
      </c>
      <c r="G130" s="2" t="n">
        <v>23223</v>
      </c>
      <c r="H130" s="3" t="n">
        <v>905.21</v>
      </c>
      <c r="I130" s="3" t="n">
        <v>6.166666666666667</v>
      </c>
      <c r="J130" s="3" t="n">
        <v>4.12020833333333</v>
      </c>
      <c r="K130" s="3" t="n">
        <v>33.01435406698565</v>
      </c>
      <c r="L130" s="3" t="n">
        <v>29.32387686064164</v>
      </c>
      <c r="M130" s="3" t="n">
        <v>0</v>
      </c>
      <c r="N130" s="3" t="n">
        <v>0.2676913777470702</v>
      </c>
      <c r="O130" s="3" t="n">
        <v>-9.166532873083399</v>
      </c>
      <c r="P130" s="3" t="n">
        <v>6.850000000000001</v>
      </c>
      <c r="Q130" s="3" t="n">
        <v>3</v>
      </c>
      <c r="R130" s="2" t="n">
        <v>11485845</v>
      </c>
      <c r="S130" s="3" t="n">
        <v>8.630000000000001</v>
      </c>
      <c r="T130" s="3" t="n">
        <v>13.90466925201823</v>
      </c>
      <c r="U130" s="2" t="n">
        <v>8694050</v>
      </c>
      <c r="V130" s="3" t="n">
        <v>6.08</v>
      </c>
      <c r="W130" s="3" t="n">
        <v>10.20102376599634</v>
      </c>
      <c r="X130" s="3" t="n">
        <v>2.6</v>
      </c>
    </row>
    <row r="131">
      <c r="A131" t="inlineStr">
        <is>
          <t>2020-10</t>
        </is>
      </c>
      <c r="B131" s="2" t="n">
        <v>56450000</v>
      </c>
      <c r="C131" s="2" t="n">
        <v>1879.900024414062</v>
      </c>
      <c r="D131" s="2" t="n">
        <v>52741580.81258769</v>
      </c>
      <c r="E131" s="2" t="n">
        <v>3708419.187412314</v>
      </c>
      <c r="F131" s="2" t="n">
        <v>23270</v>
      </c>
      <c r="G131" s="2" t="n">
        <v>23185</v>
      </c>
      <c r="H131" s="3" t="n">
        <v>925.47</v>
      </c>
      <c r="I131" s="3" t="n">
        <v>6.019354838709678</v>
      </c>
      <c r="J131" s="3" t="n">
        <v>4.12020833333333</v>
      </c>
      <c r="K131" s="3" t="n">
        <v>34.53288846520495</v>
      </c>
      <c r="L131" s="3" t="n">
        <v>24.38136787399216</v>
      </c>
      <c r="M131" s="3" t="n">
        <v>0</v>
      </c>
      <c r="N131" s="3" t="n">
        <v>0.1728235039965442</v>
      </c>
      <c r="O131" s="3" t="n">
        <v>-7.343665525319876</v>
      </c>
      <c r="P131" s="3" t="n">
        <v>6.891935483870968</v>
      </c>
      <c r="Q131" s="3" t="n">
        <v>2.5</v>
      </c>
      <c r="R131" s="2" t="n">
        <v>11556445</v>
      </c>
      <c r="S131" s="3" t="n">
        <v>9.300000000000001</v>
      </c>
      <c r="T131" s="3" t="n">
        <v>13.98428584532625</v>
      </c>
      <c r="U131" s="2" t="n">
        <v>8752023</v>
      </c>
      <c r="V131" s="3" t="n">
        <v>6.79</v>
      </c>
      <c r="W131" s="3" t="n">
        <v>10.30340361719531</v>
      </c>
      <c r="X131" t="inlineStr"/>
    </row>
    <row r="132">
      <c r="A132" t="inlineStr">
        <is>
          <t>2020-11</t>
        </is>
      </c>
      <c r="B132" s="2" t="n">
        <v>53750000</v>
      </c>
      <c r="C132" s="2" t="n">
        <v>1775.699951171875</v>
      </c>
      <c r="D132" s="2" t="n">
        <v>49732558.07110453</v>
      </c>
      <c r="E132" s="2" t="n">
        <v>4017441.928895473</v>
      </c>
      <c r="F132" s="2" t="n">
        <v>23230</v>
      </c>
      <c r="G132" s="2" t="n">
        <v>23168</v>
      </c>
      <c r="H132" s="2" t="n">
        <v>1003.08</v>
      </c>
      <c r="I132" s="3" t="n">
        <v>5.8</v>
      </c>
      <c r="J132" s="3" t="n">
        <v>4.12020833333333</v>
      </c>
      <c r="K132" s="3" t="n">
        <v>29.61176754280203</v>
      </c>
      <c r="L132" s="3" t="n">
        <v>21.08038492354245</v>
      </c>
      <c r="M132" s="3" t="n">
        <v>-0.06453000645300078</v>
      </c>
      <c r="N132" s="3" t="n">
        <v>0.02590449874795286</v>
      </c>
      <c r="O132" s="3" t="n">
        <v>3.330414627865053</v>
      </c>
      <c r="P132" s="3" t="n">
        <v>6.9</v>
      </c>
      <c r="Q132" s="3" t="n">
        <v>1.5</v>
      </c>
      <c r="R132" s="2" t="n">
        <v>11730140</v>
      </c>
      <c r="S132" s="3" t="n">
        <v>10.93</v>
      </c>
      <c r="T132" s="3" t="n">
        <v>14.16239089981859</v>
      </c>
      <c r="U132" s="2" t="n">
        <v>8884819</v>
      </c>
      <c r="V132" s="3" t="n">
        <v>8.41</v>
      </c>
      <c r="W132" s="3" t="n">
        <v>10.99816666666666</v>
      </c>
      <c r="X132" t="inlineStr"/>
    </row>
    <row r="133">
      <c r="A133" t="inlineStr">
        <is>
          <t>2020-12</t>
        </is>
      </c>
      <c r="B133" s="2" t="n">
        <v>56100000</v>
      </c>
      <c r="C133" s="2" t="n">
        <v>1895.099975585938</v>
      </c>
      <c r="D133" s="2" t="n">
        <v>53042357.69273661</v>
      </c>
      <c r="E133" s="2" t="n">
        <v>3057642.307263389</v>
      </c>
      <c r="F133" s="2" t="n">
        <v>23215</v>
      </c>
      <c r="G133" s="2" t="n">
        <v>23162</v>
      </c>
      <c r="H133" s="2" t="n">
        <v>1103.87</v>
      </c>
      <c r="I133" s="3" t="n">
        <v>5.8</v>
      </c>
      <c r="J133" s="3" t="n">
        <v>4.12020833333333</v>
      </c>
      <c r="K133" s="3" t="n">
        <v>31.2280701754386</v>
      </c>
      <c r="L133" s="3" t="n">
        <v>24.63812292182557</v>
      </c>
      <c r="M133" s="3" t="n">
        <v>-0.06457167455875545</v>
      </c>
      <c r="N133" s="3" t="n">
        <v>0.03023105160873119</v>
      </c>
      <c r="O133" s="3" t="n">
        <v>14.86800070760361</v>
      </c>
      <c r="P133" s="3" t="n">
        <v>6.8</v>
      </c>
      <c r="Q133" s="3" t="n">
        <v>0.2</v>
      </c>
      <c r="R133" s="2" t="n">
        <v>12110606</v>
      </c>
      <c r="S133" s="3" t="n">
        <v>14.53</v>
      </c>
      <c r="T133" s="3" t="n">
        <v>14.5349060997898</v>
      </c>
      <c r="U133" s="2" t="n">
        <v>9192566</v>
      </c>
      <c r="V133" s="3" t="n">
        <v>12.17</v>
      </c>
      <c r="W133" s="3" t="n">
        <v>12.16999999999999</v>
      </c>
      <c r="X133" s="3" t="n">
        <v>4.5</v>
      </c>
    </row>
    <row r="134">
      <c r="A134" t="inlineStr">
        <is>
          <t>2021-01</t>
        </is>
      </c>
      <c r="B134" s="2" t="n">
        <v>56750000</v>
      </c>
      <c r="C134" s="2" t="n">
        <v>1847.300048828125</v>
      </c>
      <c r="D134" s="2" t="n">
        <v>51537435.25232226</v>
      </c>
      <c r="E134" s="2" t="n">
        <v>5212564.747677736</v>
      </c>
      <c r="F134" s="2" t="n">
        <v>23140</v>
      </c>
      <c r="G134" s="2" t="n">
        <v>23147</v>
      </c>
      <c r="H134" s="2" t="n">
        <v>1056.61</v>
      </c>
      <c r="I134" s="3" t="n">
        <v>5.612096774193549</v>
      </c>
      <c r="J134" s="3" t="n">
        <v>3.375</v>
      </c>
      <c r="K134" s="3" t="n">
        <v>27.09966405375139</v>
      </c>
      <c r="L134" s="3" t="n">
        <v>16.05154516966343</v>
      </c>
      <c r="M134" s="3" t="n">
        <v>-0.5586592178770999</v>
      </c>
      <c r="N134" s="3" t="n">
        <v>-0.09926629261977071</v>
      </c>
      <c r="O134" s="3" t="n">
        <v>12.81095855309515</v>
      </c>
      <c r="P134" s="3" t="n">
        <v>6.756451612903225</v>
      </c>
      <c r="Q134" s="3" t="n">
        <v>-1</v>
      </c>
      <c r="R134" s="2" t="n">
        <v>12202217</v>
      </c>
      <c r="S134" s="3" t="n">
        <v>0.76</v>
      </c>
      <c r="T134" s="3" t="n">
        <v>13.42433331622983</v>
      </c>
      <c r="U134" s="2" t="n">
        <v>9262422.58</v>
      </c>
      <c r="V134" s="3" t="n">
        <v>0.76</v>
      </c>
      <c r="W134" s="3" t="n">
        <v>12.90958241758244</v>
      </c>
      <c r="X134" t="inlineStr"/>
    </row>
    <row r="135">
      <c r="A135" t="inlineStr">
        <is>
          <t>2021-02</t>
        </is>
      </c>
      <c r="B135" s="2" t="n">
        <v>56200000</v>
      </c>
      <c r="C135" s="2" t="n">
        <v>1728.800048828125</v>
      </c>
      <c r="D135" s="2" t="n">
        <v>48148055.43740619</v>
      </c>
      <c r="E135" s="2" t="n">
        <v>8051944.56259381</v>
      </c>
      <c r="F135" s="2" t="n">
        <v>23100</v>
      </c>
      <c r="G135" s="2" t="n">
        <v>23130</v>
      </c>
      <c r="H135" s="2" t="n">
        <v>1168.47</v>
      </c>
      <c r="I135" s="3" t="n">
        <v>5.574999999999998</v>
      </c>
      <c r="J135" s="3" t="n">
        <v>3.375</v>
      </c>
      <c r="K135" s="3" t="n">
        <v>22.70742358078603</v>
      </c>
      <c r="L135" s="3" t="n">
        <v>9.534256144442077</v>
      </c>
      <c r="M135" s="3" t="n">
        <v>-0.9009009009009028</v>
      </c>
      <c r="N135" s="3" t="n">
        <v>-0.4690391152803453</v>
      </c>
      <c r="O135" s="3" t="n">
        <v>32.45105929561658</v>
      </c>
      <c r="P135" s="3" t="n">
        <v>6.798275862068966</v>
      </c>
      <c r="Q135" s="3" t="n">
        <v>0.7</v>
      </c>
      <c r="R135" s="2" t="n">
        <v>12228211</v>
      </c>
      <c r="S135" s="3" t="n">
        <v>0.97</v>
      </c>
      <c r="T135" s="3" t="n">
        <v>14.57273950423879</v>
      </c>
      <c r="U135" s="2" t="n">
        <v>9253071</v>
      </c>
      <c r="V135" s="3" t="n">
        <v>0.66</v>
      </c>
      <c r="W135" s="3" t="n">
        <v>12.71870020964359</v>
      </c>
      <c r="X135" t="inlineStr"/>
    </row>
    <row r="136">
      <c r="A136" t="inlineStr">
        <is>
          <t>2021-03</t>
        </is>
      </c>
      <c r="B136" s="2" t="n">
        <v>54500000</v>
      </c>
      <c r="C136" s="2" t="n">
        <v>1713.800048828125</v>
      </c>
      <c r="D136" s="2" t="n">
        <v>47874934.24937828</v>
      </c>
      <c r="E136" s="2" t="n">
        <v>6625065.750621721</v>
      </c>
      <c r="F136" s="2" t="n">
        <v>23170</v>
      </c>
      <c r="G136" s="2" t="n">
        <v>23218</v>
      </c>
      <c r="H136" s="2" t="n">
        <v>1191.44</v>
      </c>
      <c r="I136" s="3" t="n">
        <v>5.574999999999999</v>
      </c>
      <c r="J136" s="3" t="n">
        <v>3.375</v>
      </c>
      <c r="K136" s="3" t="n">
        <v>13.07053941908713</v>
      </c>
      <c r="L136" s="3" t="n">
        <v>5.993881680636326</v>
      </c>
      <c r="M136" s="3" t="n">
        <v>-2.071005917159763</v>
      </c>
      <c r="N136" s="3" t="n">
        <v>-0.1376344086021497</v>
      </c>
      <c r="O136" s="3" t="n">
        <v>79.83185667064134</v>
      </c>
      <c r="P136" s="3" t="n">
        <v>6.8</v>
      </c>
      <c r="Q136" s="3" t="n">
        <v>1.2</v>
      </c>
      <c r="R136" s="2" t="n">
        <v>12349750</v>
      </c>
      <c r="S136" s="3" t="n">
        <v>1.97</v>
      </c>
      <c r="T136" s="3" t="n">
        <v>14.82188023100957</v>
      </c>
      <c r="U136" s="2" t="n">
        <v>9463868</v>
      </c>
      <c r="V136" s="3" t="n">
        <v>2.95</v>
      </c>
      <c r="W136" s="3" t="n">
        <v>13.98580100681077</v>
      </c>
      <c r="X136" s="3" t="n">
        <v>4.5</v>
      </c>
    </row>
    <row r="137">
      <c r="A137" t="inlineStr">
        <is>
          <t>2021-04</t>
        </is>
      </c>
      <c r="B137" s="2" t="n">
        <v>55650000</v>
      </c>
      <c r="C137" s="2" t="n">
        <v>1767.699951171875</v>
      </c>
      <c r="D137" s="2" t="n">
        <v>49316688.88161765</v>
      </c>
      <c r="E137" s="2" t="n">
        <v>6333311.11838235</v>
      </c>
      <c r="F137" s="2" t="n">
        <v>23140</v>
      </c>
      <c r="G137" s="2" t="n">
        <v>23167</v>
      </c>
      <c r="H137" s="2" t="n">
        <v>1239.39</v>
      </c>
      <c r="I137" s="3" t="n">
        <v>5.574999999999999</v>
      </c>
      <c r="J137" s="3" t="n">
        <v>3.375</v>
      </c>
      <c r="K137" s="3" t="n">
        <v>14.74226804123711</v>
      </c>
      <c r="L137" s="3" t="n">
        <v>3.306018783674736</v>
      </c>
      <c r="M137" s="3" t="n">
        <v>-1.573798383666525</v>
      </c>
      <c r="N137" s="3" t="n">
        <v>-0.4511859745617075</v>
      </c>
      <c r="O137" s="3" t="n">
        <v>61.14599992198777</v>
      </c>
      <c r="P137" s="3" t="n">
        <v>6.756666666666666</v>
      </c>
      <c r="Q137" s="3" t="n">
        <v>2.7</v>
      </c>
      <c r="R137" s="2" t="n">
        <v>12465012</v>
      </c>
      <c r="S137" s="3" t="n">
        <v>2.92</v>
      </c>
      <c r="T137" s="3" t="n">
        <v>15.63250735098287</v>
      </c>
      <c r="U137" s="2" t="n">
        <v>9575526.130000001</v>
      </c>
      <c r="V137" s="3" t="n">
        <v>4.17</v>
      </c>
      <c r="W137" s="3" t="n">
        <v>15.22284685928408</v>
      </c>
      <c r="X137" t="inlineStr"/>
    </row>
    <row r="138">
      <c r="A138" t="inlineStr">
        <is>
          <t>2021-05</t>
        </is>
      </c>
      <c r="B138" s="2" t="n">
        <v>57400000</v>
      </c>
      <c r="C138" s="2" t="n">
        <v>1902.5</v>
      </c>
      <c r="D138" s="2" t="n">
        <v>53088915.83744595</v>
      </c>
      <c r="E138" s="2" t="n">
        <v>4311084.162554048</v>
      </c>
      <c r="F138" s="2" t="n">
        <v>23145</v>
      </c>
      <c r="G138" s="2" t="n">
        <v>23146</v>
      </c>
      <c r="H138" s="2" t="n">
        <v>1328.05</v>
      </c>
      <c r="I138" s="3" t="n">
        <v>5.574999999999999</v>
      </c>
      <c r="J138" s="3" t="n">
        <v>3.375</v>
      </c>
      <c r="K138" s="3" t="n">
        <v>17.38241308793456</v>
      </c>
      <c r="L138" s="3" t="n">
        <v>7.563127263491953</v>
      </c>
      <c r="M138" s="3" t="n">
        <v>-0.9627727856225898</v>
      </c>
      <c r="N138" s="3" t="n">
        <v>-0.4772756589413896</v>
      </c>
      <c r="O138" s="3" t="n">
        <v>53.62592108459518</v>
      </c>
      <c r="P138" s="3" t="n">
        <v>6.719354838709678</v>
      </c>
      <c r="Q138" s="3" t="n">
        <v>2.9</v>
      </c>
      <c r="R138" s="2" t="n">
        <v>12558573</v>
      </c>
      <c r="S138" s="3" t="n">
        <v>3.7</v>
      </c>
      <c r="T138" s="3" t="n">
        <v>14.915955871285</v>
      </c>
      <c r="U138" s="2" t="n">
        <v>9647847</v>
      </c>
      <c r="V138" s="3" t="n">
        <v>4.95</v>
      </c>
      <c r="W138" s="3" t="n">
        <v>15.41413235294118</v>
      </c>
      <c r="X138" t="inlineStr"/>
    </row>
    <row r="139">
      <c r="A139" t="inlineStr">
        <is>
          <t>2021-06</t>
        </is>
      </c>
      <c r="B139" s="2" t="n">
        <v>56850000</v>
      </c>
      <c r="C139" s="2" t="n">
        <v>1771.599975585938</v>
      </c>
      <c r="D139" s="2" t="n">
        <v>49382776.1773758</v>
      </c>
      <c r="E139" s="2" t="n">
        <v>7467223.822624199</v>
      </c>
      <c r="F139" s="2" t="n">
        <v>23120</v>
      </c>
      <c r="G139" s="2" t="n">
        <v>23179</v>
      </c>
      <c r="H139" s="2" t="n">
        <v>1408.55</v>
      </c>
      <c r="I139" s="3" t="n">
        <v>5.595833333333333</v>
      </c>
      <c r="J139" s="3" t="n">
        <v>3.375</v>
      </c>
      <c r="K139" s="3" t="n">
        <v>15.10427211986232</v>
      </c>
      <c r="L139" s="3" t="n">
        <v>-2.365243237043402</v>
      </c>
      <c r="M139" s="3" t="n">
        <v>-0.7725321888412018</v>
      </c>
      <c r="N139" s="3" t="n">
        <v>-0.2195436934997796</v>
      </c>
      <c r="O139" s="3" t="n">
        <v>70.71057192374349</v>
      </c>
      <c r="P139" s="3" t="n">
        <v>6.5</v>
      </c>
      <c r="Q139" s="3" t="n">
        <v>2.4</v>
      </c>
      <c r="R139" s="2" t="n">
        <v>12647703</v>
      </c>
      <c r="S139" s="3" t="n">
        <v>4.43</v>
      </c>
      <c r="T139" s="3" t="n">
        <v>13.75446859685048</v>
      </c>
      <c r="U139" s="2" t="n">
        <v>9784937</v>
      </c>
      <c r="V139" s="3" t="n">
        <v>6.44</v>
      </c>
      <c r="W139" s="3" t="n">
        <v>15.18933719247468</v>
      </c>
      <c r="X139" s="3" t="n">
        <v>6.6</v>
      </c>
    </row>
    <row r="140">
      <c r="A140" t="inlineStr">
        <is>
          <t>2021-07</t>
        </is>
      </c>
      <c r="B140" s="2" t="n">
        <v>57250000</v>
      </c>
      <c r="C140" s="2" t="n">
        <v>1812.599975585938</v>
      </c>
      <c r="D140" s="2" t="n">
        <v>50372662.36587828</v>
      </c>
      <c r="E140" s="2" t="n">
        <v>6877337.634121723</v>
      </c>
      <c r="F140" s="2" t="n">
        <v>23050</v>
      </c>
      <c r="G140" s="2" t="n">
        <v>23213</v>
      </c>
      <c r="H140" s="2" t="n">
        <v>1310.05</v>
      </c>
      <c r="I140" s="3" t="n">
        <v>5.577419354838709</v>
      </c>
      <c r="J140" s="3" t="n">
        <v>3.375</v>
      </c>
      <c r="K140" s="3" t="n">
        <v>-1.259054846498797</v>
      </c>
      <c r="L140" s="3" t="n">
        <v>-8.525413258385651</v>
      </c>
      <c r="M140" s="3" t="n">
        <v>-0.9454232917920025</v>
      </c>
      <c r="N140" s="3" t="n">
        <v>-0.03445157400628895</v>
      </c>
      <c r="O140" s="3" t="n">
        <v>64.08647402898333</v>
      </c>
      <c r="P140" s="3" t="n">
        <v>6.064516129032258</v>
      </c>
      <c r="Q140" s="3" t="n">
        <v>2.6</v>
      </c>
      <c r="R140" s="2" t="n">
        <v>12692256</v>
      </c>
      <c r="S140" s="3" t="n">
        <v>4.8</v>
      </c>
      <c r="T140" s="3" t="n">
        <v>13.6956513365464</v>
      </c>
      <c r="U140" s="2" t="n">
        <v>9828832</v>
      </c>
      <c r="V140" s="3" t="n">
        <v>6.92</v>
      </c>
      <c r="W140" s="3" t="n">
        <v>15.26397308986063</v>
      </c>
      <c r="X140" t="inlineStr"/>
    </row>
    <row r="141">
      <c r="A141" t="inlineStr">
        <is>
          <t>2021-08</t>
        </is>
      </c>
      <c r="B141" s="2" t="n">
        <v>57400000</v>
      </c>
      <c r="C141" s="2" t="n">
        <v>1818.099975585938</v>
      </c>
      <c r="D141" s="2" t="n">
        <v>50130949.62180752</v>
      </c>
      <c r="E141" s="2" t="n">
        <v>7269050.378192484</v>
      </c>
      <c r="F141" s="2" t="n">
        <v>22870</v>
      </c>
      <c r="G141" s="2" t="n">
        <v>23151</v>
      </c>
      <c r="H141" s="2" t="n">
        <v>1331.47</v>
      </c>
      <c r="I141" s="3" t="n">
        <v>5.574999999999999</v>
      </c>
      <c r="J141" s="3" t="n">
        <v>3.375</v>
      </c>
      <c r="K141" s="3" t="n">
        <v>0</v>
      </c>
      <c r="L141" s="3" t="n">
        <v>-9.691309919647273</v>
      </c>
      <c r="M141" s="3" t="n">
        <v>-1.71895143962183</v>
      </c>
      <c r="N141" s="3" t="n">
        <v>-0.2584981258885843</v>
      </c>
      <c r="O141" s="3" t="n">
        <v>51.02024612941645</v>
      </c>
      <c r="P141" s="3" t="n">
        <v>6</v>
      </c>
      <c r="Q141" s="3" t="n">
        <v>2.8</v>
      </c>
      <c r="R141" s="2" t="n">
        <v>12757648</v>
      </c>
      <c r="S141" s="3" t="n">
        <v>5.34</v>
      </c>
      <c r="T141" s="3" t="n">
        <v>12.73996787202256</v>
      </c>
      <c r="U141" s="2" t="n">
        <v>9877343</v>
      </c>
      <c r="V141" s="3" t="n">
        <v>7.45</v>
      </c>
      <c r="W141" s="3" t="n">
        <v>14.98441614195765</v>
      </c>
      <c r="X141" t="inlineStr"/>
    </row>
    <row r="142">
      <c r="A142" t="inlineStr">
        <is>
          <t>2021-09</t>
        </is>
      </c>
      <c r="B142" s="2" t="n">
        <v>56850000</v>
      </c>
      <c r="C142" s="2" t="n">
        <v>1757</v>
      </c>
      <c r="D142" s="2" t="n">
        <v>48425040.59028727</v>
      </c>
      <c r="E142" s="2" t="n">
        <v>8424959.409712732</v>
      </c>
      <c r="F142" s="2" t="n">
        <v>22860</v>
      </c>
      <c r="G142" s="2" t="n">
        <v>23134</v>
      </c>
      <c r="H142" s="2" t="n">
        <v>1342.06</v>
      </c>
      <c r="I142" s="3" t="n">
        <v>5.531666666666667</v>
      </c>
      <c r="J142" s="3" t="n">
        <v>3.375</v>
      </c>
      <c r="K142" s="3" t="n">
        <v>2.248201438848918</v>
      </c>
      <c r="L142" s="3" t="n">
        <v>-8.939964453390104</v>
      </c>
      <c r="M142" s="3" t="n">
        <v>-1.761925225612382</v>
      </c>
      <c r="N142" s="3" t="n">
        <v>-0.3832407527020631</v>
      </c>
      <c r="O142" s="3" t="n">
        <v>48.25951989041215</v>
      </c>
      <c r="P142" s="3" t="n">
        <v>6.166666666666667</v>
      </c>
      <c r="Q142" s="3" t="n">
        <v>2.1</v>
      </c>
      <c r="R142" s="2" t="n">
        <v>12879090</v>
      </c>
      <c r="S142" s="3" t="n">
        <v>6.34</v>
      </c>
      <c r="T142" s="3" t="n">
        <v>12.13010448948248</v>
      </c>
      <c r="U142" s="2" t="n">
        <v>9917032</v>
      </c>
      <c r="V142" s="3" t="n">
        <v>7.88</v>
      </c>
      <c r="W142" s="3" t="n">
        <v>14.07333710407239</v>
      </c>
      <c r="X142" s="3" t="n">
        <v>-6.2</v>
      </c>
    </row>
    <row r="143">
      <c r="A143" t="inlineStr">
        <is>
          <t>2021-10</t>
        </is>
      </c>
      <c r="B143" s="2" t="n">
        <v>58450000</v>
      </c>
      <c r="C143" s="2" t="n">
        <v>1783.900024414062</v>
      </c>
      <c r="D143" s="2" t="n">
        <v>49144930.1017506</v>
      </c>
      <c r="E143" s="2" t="n">
        <v>9305069.898249403</v>
      </c>
      <c r="F143" s="2" t="n">
        <v>22850</v>
      </c>
      <c r="G143" s="2" t="n">
        <v>23142</v>
      </c>
      <c r="H143" s="2" t="n">
        <v>1444.27</v>
      </c>
      <c r="I143" s="3" t="n">
        <v>5.525</v>
      </c>
      <c r="J143" s="3" t="n">
        <v>3.375</v>
      </c>
      <c r="K143" s="3" t="n">
        <v>3.542958370239147</v>
      </c>
      <c r="L143" s="3" t="n">
        <v>-6.819383597199058</v>
      </c>
      <c r="M143" s="3" t="n">
        <v>-1.804899011602923</v>
      </c>
      <c r="N143" s="3" t="n">
        <v>-0.1854647401337117</v>
      </c>
      <c r="O143" s="3" t="n">
        <v>56.05800296065782</v>
      </c>
      <c r="P143" s="3" t="n">
        <v>6.019354838709678</v>
      </c>
      <c r="Q143" s="3" t="n">
        <v>1.8</v>
      </c>
      <c r="R143" s="2" t="n">
        <v>12907567</v>
      </c>
      <c r="S143" s="3" t="n">
        <v>6.58</v>
      </c>
      <c r="T143" s="3" t="n">
        <v>11.69150201467666</v>
      </c>
      <c r="U143" s="2" t="n">
        <v>9998175</v>
      </c>
      <c r="V143" s="3" t="n">
        <v>8.76</v>
      </c>
      <c r="W143" s="3" t="n">
        <v>14.2392471205169</v>
      </c>
      <c r="X143" t="inlineStr"/>
    </row>
    <row r="144">
      <c r="A144" t="inlineStr">
        <is>
          <t>2021-11</t>
        </is>
      </c>
      <c r="B144" s="2" t="n">
        <v>60700000</v>
      </c>
      <c r="C144" s="2" t="n">
        <v>1773.599975585938</v>
      </c>
      <c r="D144" s="2" t="n">
        <v>48754255.28078759</v>
      </c>
      <c r="E144" s="2" t="n">
        <v>11945744.71921241</v>
      </c>
      <c r="F144" s="2" t="n">
        <v>22800</v>
      </c>
      <c r="G144" s="2" t="n">
        <v>23141</v>
      </c>
      <c r="H144" s="2" t="n">
        <v>1478.44</v>
      </c>
      <c r="I144" s="3" t="n">
        <v>5.525</v>
      </c>
      <c r="J144" s="3" t="n">
        <v>3.375</v>
      </c>
      <c r="K144" s="3" t="n">
        <v>12.93023255813954</v>
      </c>
      <c r="L144" s="3" t="n">
        <v>-1.96712742770685</v>
      </c>
      <c r="M144" s="3" t="n">
        <v>-1.85105467068446</v>
      </c>
      <c r="N144" s="3" t="n">
        <v>-0.1165400552486151</v>
      </c>
      <c r="O144" s="3" t="n">
        <v>47.39003868086294</v>
      </c>
      <c r="P144" s="3" t="n">
        <v>5.8</v>
      </c>
      <c r="Q144" s="3" t="n">
        <v>2.1</v>
      </c>
      <c r="R144" s="2" t="n">
        <v>13040842</v>
      </c>
      <c r="S144" s="3" t="n">
        <v>7.68</v>
      </c>
      <c r="T144" s="3" t="n">
        <v>11.17379673217882</v>
      </c>
      <c r="U144" s="2" t="n">
        <v>10185807</v>
      </c>
      <c r="V144" s="3" t="n">
        <v>10.8</v>
      </c>
      <c r="W144" s="3" t="n">
        <v>14.6428927220736</v>
      </c>
      <c r="X144" t="inlineStr"/>
    </row>
    <row r="145">
      <c r="A145" t="inlineStr">
        <is>
          <t>2021-12</t>
        </is>
      </c>
      <c r="B145" s="2" t="n">
        <v>61650000</v>
      </c>
      <c r="C145" s="2" t="n">
        <v>1828.599975585938</v>
      </c>
      <c r="D145" s="2" t="n">
        <v>50530701.65788782</v>
      </c>
      <c r="E145" s="2" t="n">
        <v>11119298.34211218</v>
      </c>
      <c r="F145" s="2" t="n">
        <v>22920</v>
      </c>
      <c r="G145" s="2" t="n">
        <v>23193</v>
      </c>
      <c r="H145" s="2" t="n">
        <v>1498.28</v>
      </c>
      <c r="I145" s="3" t="n">
        <v>5.525</v>
      </c>
      <c r="J145" s="3" t="n">
        <v>3.375</v>
      </c>
      <c r="K145" s="3" t="n">
        <v>9.89304812834224</v>
      </c>
      <c r="L145" s="3" t="n">
        <v>-4.73518927910086</v>
      </c>
      <c r="M145" s="3" t="n">
        <v>-1.270730131380571</v>
      </c>
      <c r="N145" s="3" t="n">
        <v>0.1338399101977306</v>
      </c>
      <c r="O145" s="3" t="n">
        <v>35.72975078587153</v>
      </c>
      <c r="P145" s="3" t="n">
        <v>5.8</v>
      </c>
      <c r="Q145" s="3" t="n">
        <v>1.8</v>
      </c>
      <c r="R145" s="2" t="n">
        <v>13402097</v>
      </c>
      <c r="S145" s="3" t="n">
        <v>10.66</v>
      </c>
      <c r="T145" s="3" t="n">
        <v>10.66413191874958</v>
      </c>
      <c r="U145" s="2" t="n">
        <v>10444078</v>
      </c>
      <c r="V145" s="3" t="n">
        <v>13.61</v>
      </c>
      <c r="W145" s="3" t="n">
        <v>13.60999999999999</v>
      </c>
      <c r="X145" s="3" t="n">
        <v>5.2</v>
      </c>
    </row>
    <row r="146">
      <c r="A146" t="inlineStr">
        <is>
          <t>2022-01</t>
        </is>
      </c>
      <c r="B146" s="2" t="n">
        <v>62500000</v>
      </c>
      <c r="C146" s="2" t="n">
        <v>1795</v>
      </c>
      <c r="D146" s="2" t="n">
        <v>49299234.81280242</v>
      </c>
      <c r="E146" s="2" t="n">
        <v>13200765.18719758</v>
      </c>
      <c r="F146" s="2" t="n">
        <v>22780</v>
      </c>
      <c r="G146" s="2" t="n">
        <v>23068</v>
      </c>
      <c r="H146" s="2" t="n">
        <v>1478.96</v>
      </c>
      <c r="I146" s="3" t="n">
        <v>5.525</v>
      </c>
      <c r="J146" s="3" t="n">
        <v>3.8175</v>
      </c>
      <c r="K146" s="3" t="n">
        <v>10.13215859030836</v>
      </c>
      <c r="L146" s="3" t="n">
        <v>-4.342863451706192</v>
      </c>
      <c r="M146" s="3" t="n">
        <v>-1.55574762316335</v>
      </c>
      <c r="N146" s="3" t="n">
        <v>-0.3412969283276501</v>
      </c>
      <c r="O146" s="3" t="n">
        <v>39.9721751639678</v>
      </c>
      <c r="P146" s="3" t="n">
        <v>5.612096774193549</v>
      </c>
      <c r="Q146" s="3" t="n">
        <v>1.9</v>
      </c>
      <c r="R146" s="2" t="n">
        <v>13748740</v>
      </c>
      <c r="S146" s="3" t="n">
        <v>2.59</v>
      </c>
      <c r="T146" s="3" t="n">
        <v>12.67411487600982</v>
      </c>
      <c r="U146" s="2" t="n">
        <v>10703779</v>
      </c>
      <c r="V146" s="3" t="n">
        <v>2.49</v>
      </c>
      <c r="W146" s="3" t="n">
        <v>15.56062822548629</v>
      </c>
      <c r="X146" t="inlineStr"/>
    </row>
    <row r="147">
      <c r="A147" t="inlineStr">
        <is>
          <t>2022-02</t>
        </is>
      </c>
      <c r="B147" s="2" t="n">
        <v>65950000</v>
      </c>
      <c r="C147" s="2" t="n">
        <v>1900.699951171875</v>
      </c>
      <c r="D147" s="2" t="n">
        <v>52591827.14091003</v>
      </c>
      <c r="E147" s="2" t="n">
        <v>13358172.85908997</v>
      </c>
      <c r="F147" s="2" t="n">
        <v>22950</v>
      </c>
      <c r="G147" s="2" t="n">
        <v>23146</v>
      </c>
      <c r="H147" s="2" t="n">
        <v>1490.13</v>
      </c>
      <c r="I147" s="3" t="n">
        <v>5.525</v>
      </c>
      <c r="J147" s="3" t="n">
        <v>3.8175</v>
      </c>
      <c r="K147" s="3" t="n">
        <v>17.34875444839858</v>
      </c>
      <c r="L147" s="3" t="n">
        <v>9.229389771059115</v>
      </c>
      <c r="M147" s="3" t="n">
        <v>-0.649350649350644</v>
      </c>
      <c r="N147" s="3" t="n">
        <v>0.06917423259835687</v>
      </c>
      <c r="O147" s="3" t="n">
        <v>27.52830624663021</v>
      </c>
      <c r="P147" s="3" t="n">
        <v>5.574999999999998</v>
      </c>
      <c r="Q147" s="3" t="n">
        <v>1.4</v>
      </c>
      <c r="R147" s="2" t="n">
        <v>13644750</v>
      </c>
      <c r="S147" s="3" t="n">
        <v>1.81</v>
      </c>
      <c r="T147" s="3" t="n">
        <v>11.5841883984501</v>
      </c>
      <c r="U147" s="2" t="n">
        <v>10721070</v>
      </c>
      <c r="V147" s="3" t="n">
        <v>2.65</v>
      </c>
      <c r="W147" s="3" t="n">
        <v>15.85601529902643</v>
      </c>
      <c r="X147" t="inlineStr"/>
    </row>
    <row r="148">
      <c r="A148" t="inlineStr">
        <is>
          <t>2022-03</t>
        </is>
      </c>
      <c r="B148" s="2" t="n">
        <v>68850000</v>
      </c>
      <c r="C148" s="2" t="n">
        <v>1949.199951171875</v>
      </c>
      <c r="D148" s="2" t="n">
        <v>54004310.05907256</v>
      </c>
      <c r="E148" s="2" t="n">
        <v>14845689.94092744</v>
      </c>
      <c r="F148" s="2" t="n">
        <v>22980</v>
      </c>
      <c r="G148" s="2" t="n">
        <v>23151</v>
      </c>
      <c r="H148" s="2" t="n">
        <v>1492.15</v>
      </c>
      <c r="I148" s="3" t="n">
        <v>5.504838709677419</v>
      </c>
      <c r="J148" s="3" t="n">
        <v>3.8175</v>
      </c>
      <c r="K148" s="3" t="n">
        <v>26.3302752293578</v>
      </c>
      <c r="L148" s="3" t="n">
        <v>12.80289133718002</v>
      </c>
      <c r="M148" s="3" t="n">
        <v>-0.8200258955545991</v>
      </c>
      <c r="N148" s="3" t="n">
        <v>-0.2885692135412232</v>
      </c>
      <c r="O148" s="3" t="n">
        <v>25.2392063385483</v>
      </c>
      <c r="P148" s="3" t="n">
        <v>5.574999999999999</v>
      </c>
      <c r="Q148" s="3" t="n">
        <v>2.4</v>
      </c>
      <c r="R148" s="2" t="n">
        <v>13864061</v>
      </c>
      <c r="S148" s="3" t="n">
        <v>3.45</v>
      </c>
      <c r="T148" s="3" t="n">
        <v>12.26187574647259</v>
      </c>
      <c r="U148" s="2" t="n">
        <v>11067407.98</v>
      </c>
      <c r="V148" s="3" t="n">
        <v>5.97</v>
      </c>
      <c r="W148" s="3" t="n">
        <v>16.94270713938803</v>
      </c>
      <c r="X148" s="3" t="n">
        <v>5</v>
      </c>
    </row>
    <row r="149">
      <c r="A149" t="inlineStr">
        <is>
          <t>2022-04</t>
        </is>
      </c>
      <c r="B149" s="2" t="n">
        <v>70350000</v>
      </c>
      <c r="C149" s="2" t="n">
        <v>1911.699951171875</v>
      </c>
      <c r="D149" s="2" t="n">
        <v>53230396.54578398</v>
      </c>
      <c r="E149" s="2" t="n">
        <v>17119603.45421602</v>
      </c>
      <c r="F149" s="2" t="n">
        <v>23095</v>
      </c>
      <c r="G149" s="2" t="n">
        <v>23128</v>
      </c>
      <c r="H149" s="2" t="n">
        <v>1366.8</v>
      </c>
      <c r="I149" s="3" t="n">
        <v>5.4</v>
      </c>
      <c r="J149" s="3" t="n">
        <v>3.8175</v>
      </c>
      <c r="K149" s="3" t="n">
        <v>26.41509433962263</v>
      </c>
      <c r="L149" s="3" t="n">
        <v>7.935868674316304</v>
      </c>
      <c r="M149" s="3" t="n">
        <v>-0.1944684528954244</v>
      </c>
      <c r="N149" s="3" t="n">
        <v>-0.1683429015409854</v>
      </c>
      <c r="O149" s="3" t="n">
        <v>10.28005712487594</v>
      </c>
      <c r="P149" s="3" t="n">
        <v>5.574999999999999</v>
      </c>
      <c r="Q149" s="3" t="n">
        <v>2.6</v>
      </c>
      <c r="R149" s="2" t="n">
        <v>13871751</v>
      </c>
      <c r="S149" s="3" t="n">
        <v>3.5</v>
      </c>
      <c r="T149" s="3" t="n">
        <v>11.28550056750848</v>
      </c>
      <c r="U149" s="2" t="n">
        <v>11198987.61</v>
      </c>
      <c r="V149" s="3" t="n">
        <v>7.24</v>
      </c>
      <c r="W149" s="3" t="n">
        <v>16.95820677738311</v>
      </c>
      <c r="X149" t="inlineStr"/>
    </row>
    <row r="150">
      <c r="A150" t="inlineStr">
        <is>
          <t>2022-05</t>
        </is>
      </c>
      <c r="B150" s="2" t="n">
        <v>69300000</v>
      </c>
      <c r="C150" s="2" t="n">
        <v>1842.699951171875</v>
      </c>
      <c r="D150" s="2" t="n">
        <v>51831212.55747727</v>
      </c>
      <c r="E150" s="2" t="n">
        <v>17468787.44252273</v>
      </c>
      <c r="F150" s="2" t="n">
        <v>23330</v>
      </c>
      <c r="G150" s="2" t="n">
        <v>23105</v>
      </c>
      <c r="H150" s="2" t="n">
        <v>1292.68</v>
      </c>
      <c r="I150" s="3" t="n">
        <v>5.525</v>
      </c>
      <c r="J150" s="3" t="n">
        <v>3.8175</v>
      </c>
      <c r="K150" s="3" t="n">
        <v>20.73170731707317</v>
      </c>
      <c r="L150" s="3" t="n">
        <v>-2.369050601484635</v>
      </c>
      <c r="M150" s="3" t="n">
        <v>0.7993087059840143</v>
      </c>
      <c r="N150" s="3" t="n">
        <v>-0.1771364382614715</v>
      </c>
      <c r="O150" s="3" t="n">
        <v>-2.663303339482692</v>
      </c>
      <c r="P150" s="3" t="n">
        <v>5.574999999999999</v>
      </c>
      <c r="Q150" s="3" t="n">
        <v>2.9</v>
      </c>
      <c r="R150" s="2" t="n">
        <v>13848264</v>
      </c>
      <c r="S150" s="3" t="n">
        <v>3.33</v>
      </c>
      <c r="T150" s="3" t="n">
        <v>10.26940720096146</v>
      </c>
      <c r="U150" s="2" t="n">
        <v>11288629.19</v>
      </c>
      <c r="V150" s="3" t="n">
        <v>8.09</v>
      </c>
      <c r="W150" s="3" t="n">
        <v>17.00909861838969</v>
      </c>
      <c r="X150" t="inlineStr"/>
    </row>
    <row r="151">
      <c r="A151" t="inlineStr">
        <is>
          <t>2022-06</t>
        </is>
      </c>
      <c r="B151" s="2" t="n">
        <v>68650000</v>
      </c>
      <c r="C151" s="2" t="n">
        <v>1807.300048828125</v>
      </c>
      <c r="D151" s="2" t="n">
        <v>51020701.82211474</v>
      </c>
      <c r="E151" s="2" t="n">
        <v>17629298.17788526</v>
      </c>
      <c r="F151" s="2" t="n">
        <v>23415</v>
      </c>
      <c r="G151" s="2" t="n">
        <v>23105</v>
      </c>
      <c r="H151" s="2" t="n">
        <v>1197.6</v>
      </c>
      <c r="I151" s="3" t="n">
        <v>5.550833333333333</v>
      </c>
      <c r="J151" s="3" t="n">
        <v>3.8175</v>
      </c>
      <c r="K151" s="3" t="n">
        <v>20.75637642919965</v>
      </c>
      <c r="L151" s="3" t="n">
        <v>3.316795392093264</v>
      </c>
      <c r="M151" s="3" t="n">
        <v>1.275951557093435</v>
      </c>
      <c r="N151" s="3" t="n">
        <v>-0.3192544976055922</v>
      </c>
      <c r="O151" s="3" t="n">
        <v>-14.97639416421143</v>
      </c>
      <c r="P151" s="3" t="n">
        <v>5.595833333333333</v>
      </c>
      <c r="Q151" s="3" t="n">
        <v>3.4</v>
      </c>
      <c r="R151" s="2" t="n">
        <v>13908338</v>
      </c>
      <c r="S151" s="3" t="n">
        <v>3.78</v>
      </c>
      <c r="T151" s="3" t="n">
        <v>9.967303944439564</v>
      </c>
      <c r="U151" s="2" t="n">
        <v>11428653.23</v>
      </c>
      <c r="V151" s="3" t="n">
        <v>9.44</v>
      </c>
      <c r="W151" s="3" t="n">
        <v>16.8120856820744</v>
      </c>
      <c r="X151" s="3" t="n">
        <v>7.7</v>
      </c>
    </row>
    <row r="152">
      <c r="A152" t="inlineStr">
        <is>
          <t>2022-07</t>
        </is>
      </c>
      <c r="B152" s="2" t="n">
        <v>67100000</v>
      </c>
      <c r="C152" s="2" t="n">
        <v>1762.900024414062</v>
      </c>
      <c r="D152" s="2" t="n">
        <v>49905427.73310341</v>
      </c>
      <c r="E152" s="2" t="n">
        <v>17194572.26689659</v>
      </c>
      <c r="F152" s="2" t="n">
        <v>23480</v>
      </c>
      <c r="G152" s="2" t="n">
        <v>23212</v>
      </c>
      <c r="H152" s="2" t="n">
        <v>1206.33</v>
      </c>
      <c r="I152" s="3" t="n">
        <v>5.575806451612902</v>
      </c>
      <c r="J152" s="3" t="n">
        <v>3.8175</v>
      </c>
      <c r="K152" s="3" t="n">
        <v>17.20524017467249</v>
      </c>
      <c r="L152" s="3" t="n">
        <v>-0.9275559615672946</v>
      </c>
      <c r="M152" s="3" t="n">
        <v>1.865509761388284</v>
      </c>
      <c r="N152" s="3" t="n">
        <v>-0.004307930900793178</v>
      </c>
      <c r="O152" s="3" t="n">
        <v>-7.917255066600514</v>
      </c>
      <c r="P152" s="3" t="n">
        <v>5.577419354838709</v>
      </c>
      <c r="Q152" s="3" t="n">
        <v>3.1</v>
      </c>
      <c r="R152" s="2" t="n">
        <v>13828044</v>
      </c>
      <c r="S152" s="3" t="n">
        <v>3.18</v>
      </c>
      <c r="T152" s="3" t="n">
        <v>8.948669172761715</v>
      </c>
      <c r="U152" s="2" t="n">
        <v>11440719.62</v>
      </c>
      <c r="V152" s="3" t="n">
        <v>9.550000000000001</v>
      </c>
      <c r="W152" s="3" t="n">
        <v>16.40455948372612</v>
      </c>
      <c r="X152" t="inlineStr"/>
    </row>
    <row r="153">
      <c r="A153" t="inlineStr">
        <is>
          <t>2022-08</t>
        </is>
      </c>
      <c r="B153" s="2" t="n">
        <v>66650000</v>
      </c>
      <c r="C153" s="2" t="n">
        <v>1726.199951171875</v>
      </c>
      <c r="D153" s="2" t="n">
        <v>49116239.54818942</v>
      </c>
      <c r="E153" s="2" t="n">
        <v>17533760.45181058</v>
      </c>
      <c r="F153" s="2" t="n">
        <v>23600</v>
      </c>
      <c r="G153" s="2" t="n">
        <v>23234</v>
      </c>
      <c r="H153" s="2" t="n">
        <v>1280.51</v>
      </c>
      <c r="I153" s="3" t="n">
        <v>5.6</v>
      </c>
      <c r="J153" s="3" t="n">
        <v>3.8175</v>
      </c>
      <c r="K153" s="3" t="n">
        <v>16.11498257839721</v>
      </c>
      <c r="L153" s="3" t="n">
        <v>-2.024118994898694</v>
      </c>
      <c r="M153" s="3" t="n">
        <v>3.191954525579366</v>
      </c>
      <c r="N153" s="3" t="n">
        <v>0.3585158308496483</v>
      </c>
      <c r="O153" s="3" t="n">
        <v>-3.827348719835977</v>
      </c>
      <c r="P153" s="3" t="n">
        <v>5.574999999999999</v>
      </c>
      <c r="Q153" s="3" t="n">
        <v>2.9</v>
      </c>
      <c r="R153" s="2" t="n">
        <v>13761019</v>
      </c>
      <c r="S153" s="3" t="n">
        <v>2.68</v>
      </c>
      <c r="T153" s="3" t="n">
        <v>7.86485878901817</v>
      </c>
      <c r="U153" s="2" t="n">
        <v>11485303.93</v>
      </c>
      <c r="V153" s="3" t="n">
        <v>9.98</v>
      </c>
      <c r="W153" s="3" t="n">
        <v>16.28504234527686</v>
      </c>
      <c r="X153" t="inlineStr"/>
    </row>
    <row r="154">
      <c r="A154" t="inlineStr">
        <is>
          <t>2022-09</t>
        </is>
      </c>
      <c r="B154" s="2" t="n">
        <v>66400000</v>
      </c>
      <c r="C154" s="2" t="n">
        <v>1672</v>
      </c>
      <c r="D154" s="2" t="n">
        <v>48400565.85271754</v>
      </c>
      <c r="E154" s="2" t="n">
        <v>17999434.14728246</v>
      </c>
      <c r="F154" s="2" t="n">
        <v>24010</v>
      </c>
      <c r="G154" s="2" t="n">
        <v>23334</v>
      </c>
      <c r="H154" s="2" t="n">
        <v>1132.11</v>
      </c>
      <c r="I154" s="3" t="n">
        <v>5.6</v>
      </c>
      <c r="J154" s="3" t="n">
        <v>3.8175</v>
      </c>
      <c r="K154" s="3" t="n">
        <v>16.7985927880387</v>
      </c>
      <c r="L154" s="3" t="n">
        <v>-0.05054149107855954</v>
      </c>
      <c r="M154" s="3" t="n">
        <v>5.030621172353467</v>
      </c>
      <c r="N154" s="3" t="n">
        <v>0.8645283997579245</v>
      </c>
      <c r="O154" s="3" t="n">
        <v>-15.64386093021177</v>
      </c>
      <c r="P154" s="3" t="n">
        <v>5.531666666666667</v>
      </c>
      <c r="Q154" s="3" t="n">
        <v>3.9</v>
      </c>
      <c r="R154" s="2" t="n">
        <v>13832397</v>
      </c>
      <c r="S154" s="3" t="n">
        <v>3.21</v>
      </c>
      <c r="T154" s="3" t="n">
        <v>7.401974828966962</v>
      </c>
      <c r="U154" s="2" t="n">
        <v>11597310.32</v>
      </c>
      <c r="V154" s="3" t="n">
        <v>11.05</v>
      </c>
      <c r="W154" s="3" t="n">
        <v>16.94837319243603</v>
      </c>
      <c r="X154" s="3" t="n">
        <v>13.7</v>
      </c>
    </row>
    <row r="155">
      <c r="A155" t="inlineStr">
        <is>
          <t>2022-10</t>
        </is>
      </c>
      <c r="B155" s="2" t="n">
        <v>67000000</v>
      </c>
      <c r="C155" s="2" t="n">
        <v>1640.699951171875</v>
      </c>
      <c r="D155" s="2" t="n">
        <v>49213481.70447668</v>
      </c>
      <c r="E155" s="2" t="n">
        <v>17786518.29552332</v>
      </c>
      <c r="F155" s="2" t="n">
        <v>24879</v>
      </c>
      <c r="G155" s="2" t="n">
        <v>23703</v>
      </c>
      <c r="H155" s="2" t="n">
        <v>1027.94</v>
      </c>
      <c r="I155" s="3" t="n">
        <v>6.406451612903227</v>
      </c>
      <c r="J155" s="3" t="n">
        <v>3.8175</v>
      </c>
      <c r="K155" s="3" t="n">
        <v>14.62788708297691</v>
      </c>
      <c r="L155" s="3" t="n">
        <v>0.139488656478215</v>
      </c>
      <c r="M155" s="3" t="n">
        <v>8.879649890590802</v>
      </c>
      <c r="N155" s="3" t="n">
        <v>2.424163857920658</v>
      </c>
      <c r="O155" s="3" t="n">
        <v>-28.82632748724269</v>
      </c>
      <c r="P155" s="3" t="n">
        <v>5.525</v>
      </c>
      <c r="Q155" s="3" t="n">
        <v>4.3</v>
      </c>
      <c r="R155" s="2" t="n">
        <v>13815145</v>
      </c>
      <c r="S155" s="3" t="n">
        <v>3.08</v>
      </c>
      <c r="T155" s="3" t="n">
        <v>7.031363850367778</v>
      </c>
      <c r="U155" s="2" t="n">
        <v>11657006.81</v>
      </c>
      <c r="V155" s="3" t="n">
        <v>11.62</v>
      </c>
      <c r="W155" s="3" t="n">
        <v>16.59753769768297</v>
      </c>
      <c r="X155" t="inlineStr"/>
    </row>
    <row r="156">
      <c r="A156" t="inlineStr">
        <is>
          <t>2022-11</t>
        </is>
      </c>
      <c r="B156" s="2" t="n">
        <v>67300000</v>
      </c>
      <c r="C156" s="2" t="n">
        <v>1746</v>
      </c>
      <c r="D156" s="2" t="n">
        <v>52205700.32311477</v>
      </c>
      <c r="E156" s="2" t="n">
        <v>15094299.67688523</v>
      </c>
      <c r="F156" s="2" t="n">
        <v>24800</v>
      </c>
      <c r="G156" s="2" t="n">
        <v>23671</v>
      </c>
      <c r="H156" s="2" t="n">
        <v>1048.42</v>
      </c>
      <c r="I156" s="3" t="n">
        <v>7.4</v>
      </c>
      <c r="J156" s="3" t="n">
        <v>3.8175</v>
      </c>
      <c r="K156" s="3" t="n">
        <v>10.87314662273475</v>
      </c>
      <c r="L156" s="3" t="n">
        <v>7.079269332388449</v>
      </c>
      <c r="M156" s="3" t="n">
        <v>8.771929824561408</v>
      </c>
      <c r="N156" s="3" t="n">
        <v>2.290307246877843</v>
      </c>
      <c r="O156" s="3" t="n">
        <v>-29.086063688753</v>
      </c>
      <c r="P156" s="3" t="n">
        <v>5.525</v>
      </c>
      <c r="Q156" s="3" t="n">
        <v>4.4</v>
      </c>
      <c r="R156" s="2" t="n">
        <v>13878503</v>
      </c>
      <c r="S156" s="3" t="n">
        <v>3.55</v>
      </c>
      <c r="T156" s="3" t="n">
        <v>6.423365914562873</v>
      </c>
      <c r="U156" s="2" t="n">
        <v>11697616.55</v>
      </c>
      <c r="V156" s="3" t="n">
        <v>12.01</v>
      </c>
      <c r="W156" s="3" t="n">
        <v>14.85068682310466</v>
      </c>
      <c r="X156" t="inlineStr"/>
    </row>
    <row r="157">
      <c r="A157" t="inlineStr">
        <is>
          <t>2022-12</t>
        </is>
      </c>
      <c r="B157" s="2" t="n">
        <v>67000000</v>
      </c>
      <c r="C157" s="2" t="n">
        <v>1826.199951171875</v>
      </c>
      <c r="D157" s="2" t="n">
        <v>52247807.53127694</v>
      </c>
      <c r="E157" s="2" t="n">
        <v>14752192.46872306</v>
      </c>
      <c r="F157" s="2" t="n">
        <v>23730</v>
      </c>
      <c r="G157" s="2" t="n">
        <v>23631</v>
      </c>
      <c r="H157" s="2" t="n">
        <v>1007.09</v>
      </c>
      <c r="I157" s="3" t="n">
        <v>7.4</v>
      </c>
      <c r="J157" s="3" t="n">
        <v>3.8175</v>
      </c>
      <c r="K157" s="3" t="n">
        <v>8.67802108678022</v>
      </c>
      <c r="L157" s="3" t="n">
        <v>3.398143736484394</v>
      </c>
      <c r="M157" s="3" t="n">
        <v>3.534031413612571</v>
      </c>
      <c r="N157" s="3" t="n">
        <v>1.888500840770924</v>
      </c>
      <c r="O157" s="3" t="n">
        <v>-32.78359185199028</v>
      </c>
      <c r="P157" s="3" t="n">
        <v>5.525</v>
      </c>
      <c r="Q157" s="3" t="n">
        <v>4.6</v>
      </c>
      <c r="R157" s="2" t="n">
        <v>14226792</v>
      </c>
      <c r="S157" s="3" t="n">
        <v>6.15</v>
      </c>
      <c r="T157" s="3" t="n">
        <v>6.15347732522753</v>
      </c>
      <c r="U157" s="2" t="n">
        <v>11924433.61</v>
      </c>
      <c r="V157" s="3" t="n">
        <v>14.2</v>
      </c>
      <c r="W157" s="3" t="n">
        <v>14.19999999999999</v>
      </c>
      <c r="X157" s="3" t="n">
        <v>5.9</v>
      </c>
    </row>
    <row r="158">
      <c r="A158" t="inlineStr">
        <is>
          <t>2023-01</t>
        </is>
      </c>
      <c r="B158" s="2" t="n">
        <v>67600000</v>
      </c>
      <c r="C158" s="2" t="n">
        <v>1929.5</v>
      </c>
      <c r="D158" s="2" t="n">
        <v>54947341.13524202</v>
      </c>
      <c r="E158" s="2" t="n">
        <v>12652658.86475798</v>
      </c>
      <c r="F158" s="2" t="n">
        <v>23620</v>
      </c>
      <c r="G158" s="2" t="n">
        <v>23605</v>
      </c>
      <c r="H158" s="2" t="n">
        <v>1111.18</v>
      </c>
      <c r="I158" s="3" t="n">
        <v>7.4</v>
      </c>
      <c r="J158" s="3" t="n">
        <v>4.781</v>
      </c>
      <c r="K158" s="3" t="n">
        <v>8.159999999999989</v>
      </c>
      <c r="L158" s="3" t="n">
        <v>11.45678293767929</v>
      </c>
      <c r="M158" s="3" t="n">
        <v>3.687445127304656</v>
      </c>
      <c r="N158" s="3" t="n">
        <v>2.327900121380266</v>
      </c>
      <c r="O158" s="3" t="n">
        <v>-24.86747444149943</v>
      </c>
      <c r="P158" s="3" t="n">
        <v>5.525</v>
      </c>
      <c r="Q158" s="3" t="n">
        <v>4.9</v>
      </c>
      <c r="R158" s="2" t="n">
        <v>14339502</v>
      </c>
      <c r="S158" s="3" t="n">
        <v>0.79</v>
      </c>
      <c r="T158" s="3" t="n">
        <v>4.296844656310328</v>
      </c>
      <c r="U158" s="2" t="n">
        <v>11936635.39</v>
      </c>
      <c r="V158" s="3" t="n">
        <v>0.1</v>
      </c>
      <c r="W158" s="3" t="n">
        <v>11.53693043223729</v>
      </c>
      <c r="X158" t="inlineStr"/>
    </row>
    <row r="159">
      <c r="A159" t="inlineStr">
        <is>
          <t>2023-02</t>
        </is>
      </c>
      <c r="B159" s="2" t="n">
        <v>66800000</v>
      </c>
      <c r="C159" s="2" t="n">
        <v>1836.699951171875</v>
      </c>
      <c r="D159" s="2" t="n">
        <v>53013242.27706049</v>
      </c>
      <c r="E159" s="2" t="n">
        <v>13786757.72293951</v>
      </c>
      <c r="F159" s="2" t="n">
        <v>23940</v>
      </c>
      <c r="G159" s="2" t="n">
        <v>23642</v>
      </c>
      <c r="H159" s="2" t="n">
        <v>1024.68</v>
      </c>
      <c r="I159" s="3" t="n">
        <v>7.4</v>
      </c>
      <c r="J159" s="3" t="n">
        <v>4.781</v>
      </c>
      <c r="K159" s="3" t="n">
        <v>1.288855193328287</v>
      </c>
      <c r="L159" s="3" t="n">
        <v>0.8012939634543415</v>
      </c>
      <c r="M159" s="3" t="n">
        <v>4.313725490196085</v>
      </c>
      <c r="N159" s="3" t="n">
        <v>2.14291886287048</v>
      </c>
      <c r="O159" s="3" t="n">
        <v>-31.23552978599182</v>
      </c>
      <c r="P159" s="3" t="n">
        <v>5.525</v>
      </c>
      <c r="Q159" s="3" t="n">
        <v>4.3</v>
      </c>
      <c r="R159" s="2" t="n">
        <v>14272184</v>
      </c>
      <c r="S159" s="3" t="n">
        <v>0.32</v>
      </c>
      <c r="T159" s="3" t="n">
        <v>4.598354678539374</v>
      </c>
      <c r="U159" s="2" t="n">
        <v>12026335.13</v>
      </c>
      <c r="V159" s="3" t="n">
        <v>0.85</v>
      </c>
      <c r="W159" s="3" t="n">
        <v>12.19746712128591</v>
      </c>
      <c r="X159" t="inlineStr"/>
    </row>
    <row r="160">
      <c r="A160" t="inlineStr">
        <is>
          <t>2023-03</t>
        </is>
      </c>
      <c r="B160" s="2" t="n">
        <v>67050000</v>
      </c>
      <c r="C160" s="2" t="n">
        <v>1969</v>
      </c>
      <c r="D160" s="2" t="n">
        <v>56095941.77504139</v>
      </c>
      <c r="E160" s="2" t="n">
        <v>10954058.22495861</v>
      </c>
      <c r="F160" s="2" t="n">
        <v>23630</v>
      </c>
      <c r="G160" s="2" t="n">
        <v>23600</v>
      </c>
      <c r="H160" s="2" t="n">
        <v>1064.64</v>
      </c>
      <c r="I160" s="3" t="n">
        <v>7.248387096774194</v>
      </c>
      <c r="J160" s="3" t="n">
        <v>4.781</v>
      </c>
      <c r="K160" s="3" t="n">
        <v>-2.614379084967322</v>
      </c>
      <c r="L160" s="3" t="n">
        <v>3.873082932974992</v>
      </c>
      <c r="M160" s="3" t="n">
        <v>2.828546562228018</v>
      </c>
      <c r="N160" s="3" t="n">
        <v>1.939441060861302</v>
      </c>
      <c r="O160" s="3" t="n">
        <v>-28.65060483195388</v>
      </c>
      <c r="P160" s="3" t="n">
        <v>5.504838709677419</v>
      </c>
      <c r="Q160" s="3" t="n">
        <v>3.4</v>
      </c>
      <c r="R160" s="2" t="n">
        <v>14415021</v>
      </c>
      <c r="S160" s="3" t="n">
        <v>1.32</v>
      </c>
      <c r="T160" s="3" t="n">
        <v>3.974015982762924</v>
      </c>
      <c r="U160" s="2" t="n">
        <v>12231723.64</v>
      </c>
      <c r="V160" s="3" t="n">
        <v>2.56</v>
      </c>
      <c r="W160" s="3" t="n">
        <v>10.52516750023591</v>
      </c>
      <c r="X160" s="3" t="n">
        <v>3.3</v>
      </c>
    </row>
    <row r="161">
      <c r="A161" t="inlineStr">
        <is>
          <t>2023-04</t>
        </is>
      </c>
      <c r="B161" s="2" t="n">
        <v>67200000</v>
      </c>
      <c r="C161" s="2" t="n">
        <v>1999.099975585938</v>
      </c>
      <c r="D161" s="2" t="n">
        <v>56953476.806986</v>
      </c>
      <c r="E161" s="2" t="n">
        <v>10246523.193014</v>
      </c>
      <c r="F161" s="2" t="n">
        <v>23630</v>
      </c>
      <c r="G161" s="2" t="n">
        <v>23645</v>
      </c>
      <c r="H161" s="2" t="n">
        <v>1049.12</v>
      </c>
      <c r="I161" s="3" t="n">
        <v>7.2</v>
      </c>
      <c r="J161" s="3" t="n">
        <v>4.781</v>
      </c>
      <c r="K161" s="3" t="n">
        <v>-4.477611940298509</v>
      </c>
      <c r="L161" s="3" t="n">
        <v>6.994274893292896</v>
      </c>
      <c r="M161" s="3" t="n">
        <v>2.316518726997185</v>
      </c>
      <c r="N161" s="3" t="n">
        <v>2.235385679695612</v>
      </c>
      <c r="O161" s="3" t="n">
        <v>-23.24261047702664</v>
      </c>
      <c r="P161" s="3" t="n">
        <v>5.4</v>
      </c>
      <c r="Q161" s="3" t="n">
        <v>2.8</v>
      </c>
      <c r="R161" s="2" t="n">
        <v>14470593</v>
      </c>
      <c r="S161" s="3" t="n">
        <v>1.71</v>
      </c>
      <c r="T161" s="3" t="n">
        <v>4.316989253916104</v>
      </c>
      <c r="U161" s="2" t="n">
        <v>12285210.28</v>
      </c>
      <c r="V161" s="3" t="n">
        <v>3.01</v>
      </c>
      <c r="W161" s="3" t="n">
        <v>9.695468108914573</v>
      </c>
      <c r="X161" t="inlineStr"/>
    </row>
    <row r="162">
      <c r="A162" t="inlineStr">
        <is>
          <t>2023-05</t>
        </is>
      </c>
      <c r="B162" s="2" t="n">
        <v>67050000</v>
      </c>
      <c r="C162" s="2" t="n">
        <v>1963.900024414062</v>
      </c>
      <c r="D162" s="2" t="n">
        <v>56033518.02581556</v>
      </c>
      <c r="E162" s="2" t="n">
        <v>11016481.97418444</v>
      </c>
      <c r="F162" s="2" t="n">
        <v>23665</v>
      </c>
      <c r="G162" s="2" t="n">
        <v>23696</v>
      </c>
      <c r="H162" s="2" t="n">
        <v>1075.17</v>
      </c>
      <c r="I162" s="3" t="n">
        <v>7.161290322580645</v>
      </c>
      <c r="J162" s="3" t="n">
        <v>4.781</v>
      </c>
      <c r="K162" s="3" t="n">
        <v>-3.246753246753242</v>
      </c>
      <c r="L162" s="3" t="n">
        <v>8.107673467369159</v>
      </c>
      <c r="M162" s="3" t="n">
        <v>1.435919417059583</v>
      </c>
      <c r="N162" s="3" t="n">
        <v>2.557887903051292</v>
      </c>
      <c r="O162" s="3" t="n">
        <v>-16.82628338026425</v>
      </c>
      <c r="P162" s="3" t="n">
        <v>5.525</v>
      </c>
      <c r="Q162" s="3" t="n">
        <v>2.4</v>
      </c>
      <c r="R162" s="2" t="n">
        <v>14517832</v>
      </c>
      <c r="S162" s="3" t="n">
        <v>2.05</v>
      </c>
      <c r="T162" s="3" t="n">
        <v>4.835032030007524</v>
      </c>
      <c r="U162" s="2" t="n">
        <v>12314063.72</v>
      </c>
      <c r="V162" s="3" t="n">
        <v>3.25</v>
      </c>
      <c r="W162" s="3" t="n">
        <v>9.086409473586809</v>
      </c>
      <c r="X162" t="inlineStr"/>
    </row>
    <row r="163">
      <c r="A163" t="inlineStr">
        <is>
          <t>2023-06</t>
        </is>
      </c>
      <c r="B163" s="2" t="n">
        <v>66950000</v>
      </c>
      <c r="C163" s="2" t="n">
        <v>1929.400024414062</v>
      </c>
      <c r="D163" s="2" t="n">
        <v>55246898.15434836</v>
      </c>
      <c r="E163" s="2" t="n">
        <v>11703101.84565164</v>
      </c>
      <c r="F163" s="2" t="n">
        <v>23750</v>
      </c>
      <c r="G163" s="2" t="n">
        <v>23732</v>
      </c>
      <c r="H163" s="2" t="n">
        <v>1120.18</v>
      </c>
      <c r="I163" s="3" t="n">
        <v>6.680833333333333</v>
      </c>
      <c r="J163" s="3" t="n">
        <v>4.781</v>
      </c>
      <c r="K163" s="3" t="n">
        <v>-2.476329206117989</v>
      </c>
      <c r="L163" s="3" t="n">
        <v>8.283297134893175</v>
      </c>
      <c r="M163" s="3" t="n">
        <v>1.43070681187274</v>
      </c>
      <c r="N163" s="3" t="n">
        <v>2.713698333694015</v>
      </c>
      <c r="O163" s="3" t="n">
        <v>-6.464595858383426</v>
      </c>
      <c r="P163" s="3" t="n">
        <v>5.550833333333333</v>
      </c>
      <c r="Q163" s="3" t="n">
        <v>2</v>
      </c>
      <c r="R163" s="2" t="n">
        <v>14754221</v>
      </c>
      <c r="S163" s="3" t="n">
        <v>3.71</v>
      </c>
      <c r="T163" s="3" t="n">
        <v>6.081840979130648</v>
      </c>
      <c r="U163" s="2" t="n">
        <v>12487912.51</v>
      </c>
      <c r="V163" s="3" t="n">
        <v>4.71</v>
      </c>
      <c r="W163" s="3" t="n">
        <v>9.264272660818683</v>
      </c>
      <c r="X163" s="3" t="n">
        <v>4.1</v>
      </c>
    </row>
    <row r="164">
      <c r="A164" t="inlineStr">
        <is>
          <t>2023-07</t>
        </is>
      </c>
      <c r="B164" s="2" t="n">
        <v>67250000</v>
      </c>
      <c r="C164" s="2" t="n">
        <v>1970.5</v>
      </c>
      <c r="D164" s="2" t="n">
        <v>56673217.04149051</v>
      </c>
      <c r="E164" s="2" t="n">
        <v>10576782.95850949</v>
      </c>
      <c r="F164" s="2" t="n">
        <v>23855</v>
      </c>
      <c r="G164" s="2" t="n">
        <v>23753</v>
      </c>
      <c r="H164" s="2" t="n">
        <v>1222.9</v>
      </c>
      <c r="I164" s="3" t="n">
        <v>6.3</v>
      </c>
      <c r="J164" s="3" t="n">
        <v>4.781</v>
      </c>
      <c r="K164" s="3" t="n">
        <v>0.2235469448584215</v>
      </c>
      <c r="L164" s="3" t="n">
        <v>13.56122894002945</v>
      </c>
      <c r="M164" s="3" t="n">
        <v>1.597103918228271</v>
      </c>
      <c r="N164" s="3" t="n">
        <v>2.330691021885234</v>
      </c>
      <c r="O164" s="3" t="n">
        <v>1.373587658435094</v>
      </c>
      <c r="P164" s="3" t="n">
        <v>5.575806451612902</v>
      </c>
      <c r="Q164" s="3" t="n">
        <v>2.1</v>
      </c>
      <c r="R164" s="2" t="n">
        <v>14640943</v>
      </c>
      <c r="S164" s="3" t="n">
        <v>2.91</v>
      </c>
      <c r="T164" s="3" t="n">
        <v>5.878626073217585</v>
      </c>
      <c r="U164" s="2" t="n">
        <v>12466239.37</v>
      </c>
      <c r="V164" s="3" t="n">
        <v>4.53</v>
      </c>
      <c r="W164" s="3" t="n">
        <v>8.966919214970304</v>
      </c>
      <c r="X164" t="inlineStr"/>
    </row>
    <row r="165">
      <c r="A165" t="inlineStr">
        <is>
          <t>2023-08</t>
        </is>
      </c>
      <c r="B165" s="2" t="n">
        <v>68250000</v>
      </c>
      <c r="C165" s="2" t="n">
        <v>1965.900024414062</v>
      </c>
      <c r="D165" s="2" t="n">
        <v>57453441.64458606</v>
      </c>
      <c r="E165" s="2" t="n">
        <v>10796558.35541394</v>
      </c>
      <c r="F165" s="2" t="n">
        <v>24240</v>
      </c>
      <c r="G165" s="2" t="n">
        <v>23942</v>
      </c>
      <c r="H165" s="2" t="n">
        <v>1224.05</v>
      </c>
      <c r="I165" s="3" t="n">
        <v>6.219354838709677</v>
      </c>
      <c r="J165" s="3" t="n">
        <v>4.781</v>
      </c>
      <c r="K165" s="3" t="n">
        <v>2.400600150037513</v>
      </c>
      <c r="L165" s="3" t="n">
        <v>16.97443080555214</v>
      </c>
      <c r="M165" s="3" t="n">
        <v>2.711864406779663</v>
      </c>
      <c r="N165" s="3" t="n">
        <v>3.047258328311964</v>
      </c>
      <c r="O165" s="3" t="n">
        <v>-4.409180717058048</v>
      </c>
      <c r="P165" s="3" t="n">
        <v>5.6</v>
      </c>
      <c r="Q165" s="3" t="n">
        <v>3</v>
      </c>
      <c r="R165" s="2" t="n">
        <v>14801154</v>
      </c>
      <c r="S165" s="3" t="n">
        <v>4.04</v>
      </c>
      <c r="T165" s="3" t="n">
        <v>7.55856088855047</v>
      </c>
      <c r="U165" s="2" t="n">
        <v>12588304.72</v>
      </c>
      <c r="V165" s="3" t="n">
        <v>5.55</v>
      </c>
      <c r="W165" s="3" t="n">
        <v>9.60001818512457</v>
      </c>
      <c r="X165" t="inlineStr"/>
    </row>
    <row r="166">
      <c r="A166" t="inlineStr">
        <is>
          <t>2023-09</t>
        </is>
      </c>
      <c r="B166" s="2" t="n">
        <v>68800000</v>
      </c>
      <c r="C166" s="2" t="n">
        <v>1866.099975585938</v>
      </c>
      <c r="D166" s="2" t="n">
        <v>55031755.35249092</v>
      </c>
      <c r="E166" s="2" t="n">
        <v>13768244.64750908</v>
      </c>
      <c r="F166" s="2" t="n">
        <v>24460</v>
      </c>
      <c r="G166" s="2" t="n">
        <v>24060</v>
      </c>
      <c r="H166" s="2" t="n">
        <v>1154.15</v>
      </c>
      <c r="I166" s="3" t="n">
        <v>5.677499999999999</v>
      </c>
      <c r="J166" s="3" t="n">
        <v>4.781</v>
      </c>
      <c r="K166" s="3" t="n">
        <v>3.614457831325302</v>
      </c>
      <c r="L166" s="3" t="n">
        <v>13.70064457500773</v>
      </c>
      <c r="M166" s="3" t="n">
        <v>1.874219075385253</v>
      </c>
      <c r="N166" s="3" t="n">
        <v>3.11133967600925</v>
      </c>
      <c r="O166" s="3" t="n">
        <v>1.946807289044372</v>
      </c>
      <c r="P166" s="3" t="n">
        <v>5.6</v>
      </c>
      <c r="Q166" s="3" t="n">
        <v>3.7</v>
      </c>
      <c r="R166" s="2" t="n">
        <v>15026012</v>
      </c>
      <c r="S166" s="3" t="n">
        <v>5.62</v>
      </c>
      <c r="T166" s="3" t="n">
        <v>8.629126246159657</v>
      </c>
      <c r="U166" s="2" t="n">
        <v>12754669.12</v>
      </c>
      <c r="V166" s="3" t="n">
        <v>6.95</v>
      </c>
      <c r="W166" s="3" t="n">
        <v>9.98370103556956</v>
      </c>
      <c r="X166" s="3" t="n">
        <v>5.3</v>
      </c>
    </row>
    <row r="167">
      <c r="A167" t="inlineStr">
        <is>
          <t>2023-10</t>
        </is>
      </c>
      <c r="B167" s="2" t="n">
        <v>70800000</v>
      </c>
      <c r="C167" s="2" t="n">
        <v>1994.300048828125</v>
      </c>
      <c r="D167" s="2" t="n">
        <v>59461604.24974625</v>
      </c>
      <c r="E167" s="2" t="n">
        <v>11338395.75025375</v>
      </c>
      <c r="F167" s="2" t="n">
        <v>24730</v>
      </c>
      <c r="G167" s="2" t="n">
        <v>24087</v>
      </c>
      <c r="H167" s="2" t="n">
        <v>1028.19</v>
      </c>
      <c r="I167" s="3" t="n">
        <v>5.369354838709677</v>
      </c>
      <c r="J167" s="3" t="n">
        <v>4.781</v>
      </c>
      <c r="K167" s="3" t="n">
        <v>5.671641791044779</v>
      </c>
      <c r="L167" s="3" t="n">
        <v>20.82381126133035</v>
      </c>
      <c r="M167" s="3" t="n">
        <v>-0.5988986695606768</v>
      </c>
      <c r="N167" s="3" t="n">
        <v>1.620048095177817</v>
      </c>
      <c r="O167" s="3" t="n">
        <v>0.02432048563145717</v>
      </c>
      <c r="P167" s="3" t="n">
        <v>6.406451612903227</v>
      </c>
      <c r="Q167" s="3" t="n">
        <v>3.6</v>
      </c>
      <c r="R167" s="2" t="n">
        <v>15074263</v>
      </c>
      <c r="S167" s="3" t="n">
        <v>5.96</v>
      </c>
      <c r="T167" s="3" t="n">
        <v>9.114041148319462</v>
      </c>
      <c r="U167" s="2" t="n">
        <v>12808476.25</v>
      </c>
      <c r="V167" s="3" t="n">
        <v>7.4</v>
      </c>
      <c r="W167" s="3" t="n">
        <v>9.882458340799127</v>
      </c>
      <c r="X167" t="inlineStr"/>
    </row>
    <row r="168">
      <c r="A168" t="inlineStr">
        <is>
          <t>2023-11</t>
        </is>
      </c>
      <c r="B168" s="2" t="n">
        <v>73600000</v>
      </c>
      <c r="C168" s="2" t="n">
        <v>2038.099975585938</v>
      </c>
      <c r="D168" s="2" t="n">
        <v>60030361.21766578</v>
      </c>
      <c r="E168" s="2" t="n">
        <v>13569638.78233422</v>
      </c>
      <c r="F168" s="2" t="n">
        <v>24430</v>
      </c>
      <c r="G168" s="2" t="n">
        <v>23927</v>
      </c>
      <c r="H168" s="2" t="n">
        <v>1094.13</v>
      </c>
      <c r="I168" s="3" t="n">
        <v>5.233333333333333</v>
      </c>
      <c r="J168" s="3" t="n">
        <v>4.781</v>
      </c>
      <c r="K168" s="3" t="n">
        <v>9.361069836552737</v>
      </c>
      <c r="L168" s="3" t="n">
        <v>14.98813510042416</v>
      </c>
      <c r="M168" s="3" t="n">
        <v>-1.491935483870965</v>
      </c>
      <c r="N168" s="3" t="n">
        <v>1.08149212116091</v>
      </c>
      <c r="O168" s="3" t="n">
        <v>4.359893935636494</v>
      </c>
      <c r="P168" s="3" t="n">
        <v>7.4</v>
      </c>
      <c r="Q168" s="3" t="n">
        <v>3.5</v>
      </c>
      <c r="R168" s="2" t="n">
        <v>15354119</v>
      </c>
      <c r="S168" s="3" t="n">
        <v>7.92</v>
      </c>
      <c r="T168" s="3" t="n">
        <v>10.63238592807885</v>
      </c>
      <c r="U168" s="2" t="n">
        <v>13019793.99</v>
      </c>
      <c r="V168" s="3" t="n">
        <v>9.17</v>
      </c>
      <c r="W168" s="3" t="n">
        <v>11.30447281492721</v>
      </c>
      <c r="X168" t="inlineStr"/>
    </row>
    <row r="169">
      <c r="A169" t="inlineStr">
        <is>
          <t>2023-12</t>
        </is>
      </c>
      <c r="B169" s="2" t="n">
        <v>74000000</v>
      </c>
      <c r="C169" s="2" t="n">
        <v>2071.800048828125</v>
      </c>
      <c r="D169" s="2" t="n">
        <v>60997987.19482873</v>
      </c>
      <c r="E169" s="2" t="n">
        <v>13002012.80517127</v>
      </c>
      <c r="F169" s="2" t="n">
        <v>24420</v>
      </c>
      <c r="G169" s="2" t="n">
        <v>23915</v>
      </c>
      <c r="H169" s="2" t="n">
        <v>1129.93</v>
      </c>
      <c r="I169" s="3" t="n">
        <v>5.080645161290323</v>
      </c>
      <c r="J169" s="3" t="n">
        <v>4.781</v>
      </c>
      <c r="K169" s="3" t="n">
        <v>10.44776119402986</v>
      </c>
      <c r="L169" s="3" t="n">
        <v>16.74745807910447</v>
      </c>
      <c r="M169" s="3" t="n">
        <v>2.907711757269271</v>
      </c>
      <c r="N169" s="3" t="n">
        <v>1.201811180229351</v>
      </c>
      <c r="O169" s="3" t="n">
        <v>12.19751958613431</v>
      </c>
      <c r="P169" s="3" t="n">
        <v>7.4</v>
      </c>
      <c r="Q169" s="3" t="n">
        <v>3.6</v>
      </c>
      <c r="R169" s="2" t="n">
        <v>15998956</v>
      </c>
      <c r="S169" s="3" t="n">
        <v>12.46</v>
      </c>
      <c r="T169" s="3" t="n">
        <v>12.45652568759001</v>
      </c>
      <c r="U169" s="2" t="n">
        <v>13568977.92</v>
      </c>
      <c r="V169" s="3" t="n">
        <v>13.78</v>
      </c>
      <c r="W169" s="3" t="n">
        <v>13.77999999999999</v>
      </c>
      <c r="X169" s="3" t="n">
        <v>6.7</v>
      </c>
    </row>
    <row r="170">
      <c r="A170" t="inlineStr">
        <is>
          <t>2024-01</t>
        </is>
      </c>
      <c r="B170" s="2" t="n">
        <v>77900000</v>
      </c>
      <c r="C170" s="2" t="n">
        <v>2048.39990234375</v>
      </c>
      <c r="D170" s="2" t="n">
        <v>60741229.60214831</v>
      </c>
      <c r="E170" s="2" t="n">
        <v>17158770.39785169</v>
      </c>
      <c r="F170" s="2" t="n">
        <v>24595</v>
      </c>
      <c r="G170" s="2" t="n">
        <v>24031</v>
      </c>
      <c r="H170" s="2" t="n">
        <v>1164.31</v>
      </c>
      <c r="I170" s="3" t="n">
        <v>4.929032258064517</v>
      </c>
      <c r="J170" t="inlineStr"/>
      <c r="K170" s="3" t="n">
        <v>15.23668639053255</v>
      </c>
      <c r="L170" s="3" t="n">
        <v>10.54443826980778</v>
      </c>
      <c r="M170" s="3" t="n">
        <v>4.12785774767146</v>
      </c>
      <c r="N170" s="3" t="n">
        <v>1.804702393560675</v>
      </c>
      <c r="O170" s="3" t="n">
        <v>4.781403552979713</v>
      </c>
      <c r="P170" s="3" t="n">
        <v>7.4</v>
      </c>
      <c r="Q170" s="3" t="n">
        <v>3.4</v>
      </c>
      <c r="R170" s="2" t="n">
        <v>15999293</v>
      </c>
      <c r="S170" s="3" t="n">
        <v>0</v>
      </c>
      <c r="T170" s="3" t="n">
        <v>11.57495567140336</v>
      </c>
      <c r="U170" s="2" t="n">
        <v>13476198.6</v>
      </c>
      <c r="V170" s="3" t="n">
        <v>-0.68</v>
      </c>
      <c r="W170" s="3" t="n">
        <v>12.89340259740259</v>
      </c>
      <c r="X170" t="inlineStr"/>
    </row>
    <row r="171">
      <c r="A171" t="inlineStr">
        <is>
          <t>2024-02</t>
        </is>
      </c>
      <c r="B171" s="2" t="n">
        <v>79500000</v>
      </c>
      <c r="C171" s="2" t="n">
        <v>2054.699951171875</v>
      </c>
      <c r="D171" s="2" t="n">
        <v>61485427.02760856</v>
      </c>
      <c r="E171" s="2" t="n">
        <v>18014572.97239144</v>
      </c>
      <c r="F171" s="2" t="n">
        <v>24820</v>
      </c>
      <c r="G171" s="2" t="n">
        <v>23996</v>
      </c>
      <c r="H171" s="2" t="n">
        <v>1252.73</v>
      </c>
      <c r="I171" s="3" t="n">
        <v>4.776724137931034</v>
      </c>
      <c r="J171" t="inlineStr"/>
      <c r="K171" s="3" t="n">
        <v>19.01197604790419</v>
      </c>
      <c r="L171" s="3" t="n">
        <v>15.9812612597251</v>
      </c>
      <c r="M171" s="3" t="n">
        <v>3.675856307435255</v>
      </c>
      <c r="N171" s="3" t="n">
        <v>1.497335250824805</v>
      </c>
      <c r="O171" s="3" t="n">
        <v>22.25572861771479</v>
      </c>
      <c r="P171" s="3" t="n">
        <v>7.4</v>
      </c>
      <c r="Q171" s="3" t="n">
        <v>4</v>
      </c>
      <c r="R171" s="2" t="n">
        <v>15914067</v>
      </c>
      <c r="S171" s="3" t="n">
        <v>-0.53</v>
      </c>
      <c r="T171" s="3" t="n">
        <v>11.50407674116309</v>
      </c>
      <c r="U171" s="2" t="n">
        <v>13467585.05</v>
      </c>
      <c r="V171" s="3" t="n">
        <v>-0.75</v>
      </c>
      <c r="W171" s="3" t="n">
        <v>11.97486365889935</v>
      </c>
      <c r="X171" t="inlineStr"/>
    </row>
    <row r="172">
      <c r="A172" t="inlineStr">
        <is>
          <t>2024-03</t>
        </is>
      </c>
      <c r="B172" s="2" t="n">
        <v>80800000</v>
      </c>
      <c r="C172" s="2" t="n">
        <v>2217.39990234375</v>
      </c>
      <c r="D172" s="2" t="n">
        <v>66755118.67015381</v>
      </c>
      <c r="E172" s="2" t="n">
        <v>14044881.32984619</v>
      </c>
      <c r="F172" s="2" t="n">
        <v>24970</v>
      </c>
      <c r="G172" s="2" t="n">
        <v>23994</v>
      </c>
      <c r="H172" s="2" t="n">
        <v>1284.09</v>
      </c>
      <c r="I172" s="3" t="n">
        <v>4.742741935483871</v>
      </c>
      <c r="J172" t="inlineStr"/>
      <c r="K172" s="3" t="n">
        <v>20.50708426547352</v>
      </c>
      <c r="L172" s="3" t="n">
        <v>19.00168988669155</v>
      </c>
      <c r="M172" s="3" t="n">
        <v>5.670757511637747</v>
      </c>
      <c r="N172" s="3" t="n">
        <v>1.669491525423727</v>
      </c>
      <c r="O172" s="3" t="n">
        <v>20.61260144274119</v>
      </c>
      <c r="P172" s="3" t="n">
        <v>7.248387096774194</v>
      </c>
      <c r="Q172" s="3" t="n">
        <v>4</v>
      </c>
      <c r="R172" s="2" t="n">
        <v>16012915</v>
      </c>
      <c r="S172" s="3" t="n">
        <v>0.09</v>
      </c>
      <c r="T172" s="3" t="n">
        <v>11.08492315064959</v>
      </c>
      <c r="U172" s="2" t="n">
        <v>13761415.87</v>
      </c>
      <c r="V172" s="3" t="n">
        <v>1.42</v>
      </c>
      <c r="W172" s="3" t="n">
        <v>12.51528471138843</v>
      </c>
      <c r="X172" s="3" t="n">
        <v>5.7</v>
      </c>
    </row>
    <row r="173">
      <c r="A173" t="inlineStr">
        <is>
          <t>2024-04</t>
        </is>
      </c>
      <c r="B173" s="2" t="n">
        <v>85200000</v>
      </c>
      <c r="C173" s="2" t="n">
        <v>2302.89990234375</v>
      </c>
      <c r="D173" s="2" t="n">
        <v>70684037.62502675</v>
      </c>
      <c r="E173" s="2" t="n">
        <v>14515962.37497325</v>
      </c>
      <c r="F173" s="2" t="n">
        <v>25458</v>
      </c>
      <c r="G173" s="2" t="n">
        <v>24264</v>
      </c>
      <c r="H173" s="2" t="n">
        <v>1209.52</v>
      </c>
      <c r="I173" s="3" t="n">
        <v>4.675</v>
      </c>
      <c r="J173" t="inlineStr"/>
      <c r="K173" s="3" t="n">
        <v>26.78571428571428</v>
      </c>
      <c r="L173" s="3" t="n">
        <v>24.1083803620511</v>
      </c>
      <c r="M173" s="3" t="n">
        <v>7.735928903935685</v>
      </c>
      <c r="N173" s="3" t="n">
        <v>2.617889617255242</v>
      </c>
      <c r="O173" s="3" t="n">
        <v>15.28900411773677</v>
      </c>
      <c r="P173" s="3" t="n">
        <v>7.2</v>
      </c>
      <c r="Q173" s="3" t="n">
        <v>4.4</v>
      </c>
      <c r="R173" s="2" t="n">
        <v>16019364</v>
      </c>
      <c r="S173" s="3" t="n">
        <v>0.13</v>
      </c>
      <c r="T173" s="3" t="n">
        <v>10.70288550026941</v>
      </c>
      <c r="U173" s="2" t="n">
        <v>13842168.71</v>
      </c>
      <c r="V173" s="3" t="n">
        <v>2.01</v>
      </c>
      <c r="W173" s="3" t="n">
        <v>12.67544704397629</v>
      </c>
      <c r="X173" t="inlineStr"/>
    </row>
    <row r="174">
      <c r="A174" t="inlineStr">
        <is>
          <t>2024-05</t>
        </is>
      </c>
      <c r="B174" s="2" t="n">
        <v>87500000</v>
      </c>
      <c r="C174" s="2" t="n">
        <v>2322.89990234375</v>
      </c>
      <c r="D174" s="2" t="n">
        <v>71342717.19296625</v>
      </c>
      <c r="E174" s="2" t="n">
        <v>16157282.80703375</v>
      </c>
      <c r="F174" s="2" t="n">
        <v>25474</v>
      </c>
      <c r="G174" s="2" t="n">
        <v>24264</v>
      </c>
      <c r="H174" s="2" t="n">
        <v>1261.72</v>
      </c>
      <c r="I174" s="3" t="n">
        <v>4.675</v>
      </c>
      <c r="J174" t="inlineStr"/>
      <c r="K174" s="3" t="n">
        <v>30.49962714392245</v>
      </c>
      <c r="L174" s="3" t="n">
        <v>27.32150274786868</v>
      </c>
      <c r="M174" s="3" t="n">
        <v>7.644200295795489</v>
      </c>
      <c r="N174" s="3" t="n">
        <v>2.397029034436193</v>
      </c>
      <c r="O174" s="3" t="n">
        <v>17.35074453342262</v>
      </c>
      <c r="P174" s="3" t="n">
        <v>7.161290322580645</v>
      </c>
      <c r="Q174" s="3" t="n">
        <v>4.4</v>
      </c>
      <c r="R174" s="2" t="n">
        <v>16130057</v>
      </c>
      <c r="S174" s="3" t="n">
        <v>0.82</v>
      </c>
      <c r="T174" s="3" t="n">
        <v>11.10513608367971</v>
      </c>
      <c r="U174" s="2" t="n">
        <v>14034014.18</v>
      </c>
      <c r="V174" s="3" t="n">
        <v>3.43</v>
      </c>
      <c r="W174" s="3" t="n">
        <v>13.97835738498789</v>
      </c>
      <c r="X174" t="inlineStr"/>
    </row>
    <row r="175">
      <c r="A175" t="inlineStr">
        <is>
          <t>2024-06</t>
        </is>
      </c>
      <c r="B175" s="2" t="n">
        <v>76980000</v>
      </c>
      <c r="C175" s="2" t="n">
        <v>2339.60009765625</v>
      </c>
      <c r="D175" s="2" t="n">
        <v>71852805.89917251</v>
      </c>
      <c r="E175" s="2" t="n">
        <v>5127194.100827485</v>
      </c>
      <c r="F175" s="2" t="n">
        <v>25473</v>
      </c>
      <c r="G175" s="2" t="n">
        <v>24262</v>
      </c>
      <c r="H175" s="2" t="n">
        <v>1245.32</v>
      </c>
      <c r="I175" s="3" t="n">
        <v>4.675</v>
      </c>
      <c r="J175" t="inlineStr"/>
      <c r="K175" s="3" t="n">
        <v>14.9813293502614</v>
      </c>
      <c r="L175" s="3" t="n">
        <v>30.05762911508752</v>
      </c>
      <c r="M175" s="3" t="n">
        <v>7.254736842105269</v>
      </c>
      <c r="N175" s="3" t="n">
        <v>2.233271532108549</v>
      </c>
      <c r="O175" s="3" t="n">
        <v>11.17141887910871</v>
      </c>
      <c r="P175" s="3" t="n">
        <v>6.680833333333333</v>
      </c>
      <c r="Q175" s="3" t="n">
        <v>4.3</v>
      </c>
      <c r="R175" s="2" t="n">
        <v>16513106</v>
      </c>
      <c r="S175" s="3" t="n">
        <v>3.21</v>
      </c>
      <c r="T175" s="3" t="n">
        <v>11.92123257473234</v>
      </c>
      <c r="U175" s="2" t="n">
        <v>14396261.98</v>
      </c>
      <c r="V175" s="3" t="n">
        <v>6.1</v>
      </c>
      <c r="W175" s="3" t="n">
        <v>15.29040206284023</v>
      </c>
      <c r="X175" s="3" t="n">
        <v>6.9</v>
      </c>
    </row>
    <row r="176">
      <c r="A176" t="inlineStr">
        <is>
          <t>2024-07</t>
        </is>
      </c>
      <c r="B176" s="2" t="n">
        <v>79000000</v>
      </c>
      <c r="C176" s="2" t="n">
        <v>2426.5</v>
      </c>
      <c r="D176" s="2" t="n">
        <v>74366586.55778289</v>
      </c>
      <c r="E176" s="2" t="n">
        <v>4633413.442217112</v>
      </c>
      <c r="F176" s="2" t="n">
        <v>25420</v>
      </c>
      <c r="G176" s="2" t="n">
        <v>24265</v>
      </c>
      <c r="H176" s="2" t="n">
        <v>1251.51</v>
      </c>
      <c r="I176" s="3" t="n">
        <v>4.675</v>
      </c>
      <c r="J176" t="inlineStr"/>
      <c r="K176" s="3" t="n">
        <v>17.47211895910781</v>
      </c>
      <c r="L176" s="3" t="n">
        <v>31.21998439463751</v>
      </c>
      <c r="M176" s="3" t="n">
        <v>6.5604695032488</v>
      </c>
      <c r="N176" s="3" t="n">
        <v>2.15551719782765</v>
      </c>
      <c r="O176" s="3" t="n">
        <v>2.339520811186513</v>
      </c>
      <c r="P176" s="3" t="n">
        <v>6.3</v>
      </c>
      <c r="Q176" s="3" t="n">
        <v>4.4</v>
      </c>
      <c r="R176" s="2" t="n">
        <v>16401397</v>
      </c>
      <c r="S176" s="3" t="n">
        <v>2.52</v>
      </c>
      <c r="T176" s="3" t="n">
        <v>12.02418450778751</v>
      </c>
      <c r="U176" s="2" t="n">
        <v>14373407.09</v>
      </c>
      <c r="V176" s="3" t="n">
        <v>5.93</v>
      </c>
      <c r="W176" s="3" t="n">
        <v>15.30388787907777</v>
      </c>
      <c r="X176" t="inlineStr"/>
    </row>
    <row r="177">
      <c r="A177" t="inlineStr">
        <is>
          <t>2024-08</t>
        </is>
      </c>
      <c r="B177" s="2" t="n">
        <v>81000000</v>
      </c>
      <c r="C177" s="2" t="n">
        <v>2527.60009765625</v>
      </c>
      <c r="D177" s="2" t="n">
        <v>76276581.14561376</v>
      </c>
      <c r="E177" s="2" t="n">
        <v>4723418.85438624</v>
      </c>
      <c r="F177" s="2" t="n">
        <v>25030</v>
      </c>
      <c r="G177" s="2" t="n">
        <v>24250</v>
      </c>
      <c r="H177" s="2" t="n">
        <v>1283.87</v>
      </c>
      <c r="I177" s="3" t="n">
        <v>4.675</v>
      </c>
      <c r="J177" t="inlineStr"/>
      <c r="K177" s="3" t="n">
        <v>18.68131868131868</v>
      </c>
      <c r="L177" s="3" t="n">
        <v>32.76242286314179</v>
      </c>
      <c r="M177" s="3" t="n">
        <v>3.259075907590758</v>
      </c>
      <c r="N177" s="3" t="n">
        <v>1.286442235402219</v>
      </c>
      <c r="O177" s="3" t="n">
        <v>4.887055267350182</v>
      </c>
      <c r="P177" s="3" t="n">
        <v>6.219354838709677</v>
      </c>
      <c r="Q177" s="3" t="n">
        <v>3.45</v>
      </c>
      <c r="R177" s="2" t="n">
        <v>16658293</v>
      </c>
      <c r="S177" s="3" t="n">
        <v>4.12</v>
      </c>
      <c r="T177" s="3" t="n">
        <v>12.54725813946669</v>
      </c>
      <c r="U177" s="2" t="n">
        <v>14561481.81</v>
      </c>
      <c r="V177" s="3" t="n">
        <v>7.31</v>
      </c>
      <c r="W177" s="3" t="n">
        <v>15.67723164377071</v>
      </c>
      <c r="X177" t="inlineStr"/>
    </row>
    <row r="178">
      <c r="A178" t="inlineStr">
        <is>
          <t>2024-09</t>
        </is>
      </c>
      <c r="B178" s="2" t="n">
        <v>83500000</v>
      </c>
      <c r="C178" s="2" t="n">
        <v>2659.39990234375</v>
      </c>
      <c r="D178" s="2" t="n">
        <v>79324135.84964439</v>
      </c>
      <c r="E178" s="2" t="n">
        <v>4175864.150355607</v>
      </c>
      <c r="F178" s="2" t="n">
        <v>24740</v>
      </c>
      <c r="G178" s="2" t="n">
        <v>24134</v>
      </c>
      <c r="H178" s="2" t="n">
        <v>1287.94</v>
      </c>
      <c r="I178" s="3" t="n">
        <v>4.675</v>
      </c>
      <c r="J178" t="inlineStr"/>
      <c r="K178" s="3" t="n">
        <v>21.36627906976745</v>
      </c>
      <c r="L178" s="3" t="n">
        <v>44.14247799575944</v>
      </c>
      <c r="M178" s="3" t="n">
        <v>1.144726083401482</v>
      </c>
      <c r="N178" s="3" t="n">
        <v>0.3075644222776397</v>
      </c>
      <c r="O178" s="3" t="n">
        <v>11.59208075206861</v>
      </c>
      <c r="P178" s="3" t="n">
        <v>5.677499999999999</v>
      </c>
      <c r="Q178" s="3" t="n">
        <v>2.63</v>
      </c>
      <c r="R178" s="2" t="n">
        <v>16949072</v>
      </c>
      <c r="S178" s="3" t="n">
        <v>5.94</v>
      </c>
      <c r="T178" s="3" t="n">
        <v>12.79820620401475</v>
      </c>
      <c r="U178" s="2" t="n">
        <v>14805563.37</v>
      </c>
      <c r="V178" s="3" t="n">
        <v>9.109999999999999</v>
      </c>
      <c r="W178" s="3" t="n">
        <v>16.07794109396912</v>
      </c>
      <c r="X178" s="3" t="n">
        <v>7.4</v>
      </c>
    </row>
    <row r="179">
      <c r="A179" t="inlineStr">
        <is>
          <t>2024-10</t>
        </is>
      </c>
      <c r="B179" s="2" t="n">
        <v>90000000</v>
      </c>
      <c r="C179" s="2" t="n">
        <v>2749.300048828125</v>
      </c>
      <c r="D179" s="2" t="n">
        <v>84359098.94707483</v>
      </c>
      <c r="E179" s="2" t="n">
        <v>5640901.052925169</v>
      </c>
      <c r="F179" s="2" t="n">
        <v>25450</v>
      </c>
      <c r="G179" s="2" t="n">
        <v>24255</v>
      </c>
      <c r="H179" s="2" t="n">
        <v>1264.48</v>
      </c>
      <c r="I179" s="3" t="n">
        <v>4.675</v>
      </c>
      <c r="J179" t="inlineStr"/>
      <c r="K179" s="3" t="n">
        <v>27.11864406779661</v>
      </c>
      <c r="L179" s="3" t="n">
        <v>41.87154889524331</v>
      </c>
      <c r="M179" s="3" t="n">
        <v>2.911443590780438</v>
      </c>
      <c r="N179" s="3" t="n">
        <v>0.6974716652136115</v>
      </c>
      <c r="O179" s="3" t="n">
        <v>22.98116106945214</v>
      </c>
      <c r="P179" s="3" t="n">
        <v>5.369354838709677</v>
      </c>
      <c r="Q179" s="3" t="n">
        <v>2.89</v>
      </c>
      <c r="R179" s="2" t="n">
        <v>17107320</v>
      </c>
      <c r="S179" s="3" t="n">
        <v>6.93</v>
      </c>
      <c r="T179" s="3" t="n">
        <v>13.48694128528871</v>
      </c>
      <c r="U179" s="2" t="n">
        <v>14945582.57</v>
      </c>
      <c r="V179" s="3" t="n">
        <v>10.15</v>
      </c>
      <c r="W179" s="3" t="n">
        <v>16.69336126629421</v>
      </c>
      <c r="X179" t="inlineStr"/>
    </row>
    <row r="180">
      <c r="A180" t="inlineStr">
        <is>
          <t>2024-11</t>
        </is>
      </c>
      <c r="B180" s="2" t="n">
        <v>85800000</v>
      </c>
      <c r="C180" s="2" t="n">
        <v>2657</v>
      </c>
      <c r="D180" s="2" t="n">
        <v>81568622.90417477</v>
      </c>
      <c r="E180" s="2" t="n">
        <v>4231377.095825225</v>
      </c>
      <c r="F180" s="2" t="n">
        <v>25463</v>
      </c>
      <c r="G180" s="2" t="n">
        <v>24292</v>
      </c>
      <c r="H180" s="2" t="n">
        <v>1250.46</v>
      </c>
      <c r="I180" s="3" t="n">
        <v>4.675</v>
      </c>
      <c r="J180" t="inlineStr"/>
      <c r="K180" s="3" t="n">
        <v>16.57608695652173</v>
      </c>
      <c r="L180" s="3" t="n">
        <v>35.87894733535386</v>
      </c>
      <c r="M180" s="3" t="n">
        <v>4.228407695456404</v>
      </c>
      <c r="N180" s="3" t="n">
        <v>1.525473314665438</v>
      </c>
      <c r="O180" s="3" t="n">
        <v>14.28806448959445</v>
      </c>
      <c r="P180" s="3" t="n">
        <v>5.233333333333333</v>
      </c>
      <c r="Q180" s="3" t="n">
        <v>2.77</v>
      </c>
      <c r="R180" s="2" t="n">
        <v>17301843</v>
      </c>
      <c r="S180" s="3" t="n">
        <v>8.140000000000001</v>
      </c>
      <c r="T180" s="3" t="n">
        <v>12.68535172874459</v>
      </c>
      <c r="U180" s="2" t="n">
        <v>15176471.37</v>
      </c>
      <c r="V180" s="3" t="n">
        <v>11.85</v>
      </c>
      <c r="W180" s="3" t="n">
        <v>16.57317028487682</v>
      </c>
      <c r="X180" t="inlineStr"/>
    </row>
    <row r="181">
      <c r="A181" t="inlineStr">
        <is>
          <t>2024-12</t>
        </is>
      </c>
      <c r="B181" s="2" t="n">
        <v>84200000</v>
      </c>
      <c r="C181" s="2" t="n">
        <v>2641</v>
      </c>
      <c r="D181" s="2" t="n">
        <v>81357633.78719437</v>
      </c>
      <c r="E181" s="2" t="n">
        <v>2842366.212805629</v>
      </c>
      <c r="F181" s="2" t="n">
        <v>25551</v>
      </c>
      <c r="G181" s="2" t="n">
        <v>24308</v>
      </c>
      <c r="H181" s="2" t="n">
        <v>1266.78</v>
      </c>
      <c r="I181" s="3" t="n">
        <v>4.675</v>
      </c>
      <c r="J181" t="inlineStr"/>
      <c r="K181" s="3" t="n">
        <v>13.78378378378378</v>
      </c>
      <c r="L181" s="3" t="n">
        <v>33.37757117679399</v>
      </c>
      <c r="M181" s="3" t="n">
        <v>4.631449631449636</v>
      </c>
      <c r="N181" s="3" t="n">
        <v>1.643320091992484</v>
      </c>
      <c r="O181" s="3" t="n">
        <v>12.11136973086828</v>
      </c>
      <c r="P181" s="3" t="n">
        <v>5.080645161290323</v>
      </c>
      <c r="Q181" s="3" t="n">
        <v>2.94</v>
      </c>
      <c r="R181" s="2" t="n">
        <v>17914566</v>
      </c>
      <c r="S181" s="3" t="n">
        <v>11.97</v>
      </c>
      <c r="T181" s="3" t="n">
        <v>11.97334376068038</v>
      </c>
      <c r="U181" s="2" t="n">
        <v>15616213.73</v>
      </c>
      <c r="V181" s="3" t="n">
        <v>15.09</v>
      </c>
      <c r="W181" s="3" t="n">
        <v>15.09</v>
      </c>
      <c r="X181" s="3" t="n">
        <v>7.55</v>
      </c>
    </row>
    <row r="182">
      <c r="A182" t="inlineStr">
        <is>
          <t>2025-01</t>
        </is>
      </c>
      <c r="B182" s="2" t="n">
        <v>88800000</v>
      </c>
      <c r="C182" s="2" t="n">
        <v>2812.5</v>
      </c>
      <c r="D182" s="2" t="n">
        <v>85789682.02935362</v>
      </c>
      <c r="E182" s="2" t="n">
        <v>3010317.970646381</v>
      </c>
      <c r="F182" s="2" t="n">
        <v>25300</v>
      </c>
      <c r="G182" t="inlineStr"/>
      <c r="H182" s="2" t="n">
        <v>1265.05</v>
      </c>
      <c r="I182" s="3" t="n">
        <v>4.675</v>
      </c>
      <c r="J182" t="inlineStr"/>
      <c r="K182" s="3" t="n">
        <v>13.99229781771503</v>
      </c>
      <c r="L182" s="3" t="n">
        <v>41.23797392853468</v>
      </c>
      <c r="M182" s="3" t="n">
        <v>2.866436267534045</v>
      </c>
      <c r="N182" t="inlineStr"/>
      <c r="O182" s="3" t="n">
        <v>8.65233485927288</v>
      </c>
      <c r="P182" s="3" t="n">
        <v>4.929032258064517</v>
      </c>
      <c r="Q182" s="3" t="n">
        <v>3.63</v>
      </c>
      <c r="R182" s="2" t="n">
        <v>18176926</v>
      </c>
      <c r="S182" s="3" t="n">
        <v>1.46</v>
      </c>
      <c r="T182" s="3" t="n">
        <v>13.61080767756426</v>
      </c>
      <c r="U182" s="2" t="n">
        <v>15701965.17</v>
      </c>
      <c r="V182" s="3" t="n">
        <v>0.55</v>
      </c>
      <c r="W182" s="3" t="n">
        <v>16.51529903342732</v>
      </c>
      <c r="X182" t="inlineStr"/>
    </row>
    <row r="183">
      <c r="A183" t="inlineStr">
        <is>
          <t>2025-02</t>
        </is>
      </c>
      <c r="B183" s="2" t="n">
        <v>90500000</v>
      </c>
      <c r="C183" s="2" t="n">
        <v>2848.5</v>
      </c>
      <c r="D183" s="2" t="n">
        <v>88364538.9586381</v>
      </c>
      <c r="E183" s="2" t="n">
        <v>2135461.041361898</v>
      </c>
      <c r="F183" s="2" t="n">
        <v>25730</v>
      </c>
      <c r="G183" t="inlineStr"/>
      <c r="H183" s="2" t="n">
        <v>1305.36</v>
      </c>
      <c r="I183" s="3" t="n">
        <v>4.675</v>
      </c>
      <c r="J183" t="inlineStr"/>
      <c r="K183" s="3" t="n">
        <v>13.83647798742138</v>
      </c>
      <c r="L183" s="3" t="n">
        <v>43.71623200886305</v>
      </c>
      <c r="M183" s="3" t="n">
        <v>3.666398066075738</v>
      </c>
      <c r="N183" t="inlineStr"/>
      <c r="O183" s="3" t="n">
        <v>4.201224525636005</v>
      </c>
      <c r="P183" s="3" t="n">
        <v>4.776724137931034</v>
      </c>
      <c r="Q183" s="3" t="n">
        <v>2.91</v>
      </c>
      <c r="R183" s="2" t="n">
        <v>18157191</v>
      </c>
      <c r="S183" s="3" t="n">
        <v>1.35</v>
      </c>
      <c r="T183" s="3" t="n">
        <v>14.09522782579713</v>
      </c>
      <c r="U183" s="2" t="n">
        <v>15735537.26</v>
      </c>
      <c r="V183" s="3" t="n">
        <v>0.76</v>
      </c>
      <c r="W183" s="3" t="n">
        <v>16.84099143576827</v>
      </c>
      <c r="X183" t="inlineStr"/>
    </row>
    <row r="184">
      <c r="A184" t="inlineStr">
        <is>
          <t>2025-03</t>
        </is>
      </c>
      <c r="B184" s="2" t="n">
        <v>101800000</v>
      </c>
      <c r="C184" s="2" t="n">
        <v>3122.800048828125</v>
      </c>
      <c r="D184" s="2" t="n">
        <v>96911368.4032777</v>
      </c>
      <c r="E184" s="2" t="n">
        <v>4888631.596722305</v>
      </c>
      <c r="F184" s="2" t="n">
        <v>25740</v>
      </c>
      <c r="G184" t="inlineStr"/>
      <c r="H184" s="2" t="n">
        <v>1306.86</v>
      </c>
      <c r="I184" s="3" t="n">
        <v>4.675</v>
      </c>
      <c r="J184" t="inlineStr"/>
      <c r="K184" s="3" t="n">
        <v>25.99009900990099</v>
      </c>
      <c r="L184" s="3" t="n">
        <v>45.1744380563984</v>
      </c>
      <c r="M184" s="3" t="n">
        <v>3.083700440528636</v>
      </c>
      <c r="N184" t="inlineStr"/>
      <c r="O184" s="3" t="n">
        <v>1.773240193444381</v>
      </c>
      <c r="P184" s="3" t="n">
        <v>4.742741935483871</v>
      </c>
      <c r="Q184" s="3" t="n">
        <v>3.13</v>
      </c>
      <c r="R184" s="2" t="n">
        <v>18450042</v>
      </c>
      <c r="S184" s="3" t="n">
        <v>2.99</v>
      </c>
      <c r="T184" s="3" t="n">
        <v>15.2197585511445</v>
      </c>
      <c r="U184" s="2" t="n">
        <v>16226458.02</v>
      </c>
      <c r="V184" s="3" t="n">
        <v>3.91</v>
      </c>
      <c r="W184" s="3" t="n">
        <v>17.91561723525932</v>
      </c>
      <c r="X184" s="3" t="n">
        <v>6.93</v>
      </c>
    </row>
    <row r="185">
      <c r="A185" t="inlineStr">
        <is>
          <t>2025-04</t>
        </is>
      </c>
      <c r="B185" s="2" t="n">
        <v>121300000</v>
      </c>
      <c r="C185" s="2" t="n">
        <v>3319.10009765625</v>
      </c>
      <c r="D185" s="2" t="n">
        <v>104763982.2166002</v>
      </c>
      <c r="E185" s="2" t="n">
        <v>16536017.78339982</v>
      </c>
      <c r="F185" s="2" t="n">
        <v>26180</v>
      </c>
      <c r="G185" s="2" t="n">
        <v>24960</v>
      </c>
      <c r="H185" s="2" t="n">
        <v>1226.3</v>
      </c>
      <c r="I185" s="3" t="n">
        <v>4.675</v>
      </c>
      <c r="J185" t="inlineStr"/>
      <c r="K185" s="3" t="n">
        <v>42.37089201877935</v>
      </c>
      <c r="L185" s="3" t="n">
        <v>48.21448482097874</v>
      </c>
      <c r="M185" s="3" t="n">
        <v>2.836043679786315</v>
      </c>
      <c r="N185" s="3" t="n">
        <v>2.868447082096925</v>
      </c>
      <c r="O185" s="3" t="n">
        <v>1.387327204180178</v>
      </c>
      <c r="P185" s="3" t="n">
        <v>4.675</v>
      </c>
      <c r="Q185" s="3" t="n">
        <v>3.12</v>
      </c>
      <c r="R185" s="2" t="n">
        <v>18721571</v>
      </c>
      <c r="S185" s="3" t="n">
        <v>4.5</v>
      </c>
      <c r="T185" s="3" t="n">
        <v>16.86837879456389</v>
      </c>
      <c r="U185" s="2" t="n">
        <v>16446560.51</v>
      </c>
      <c r="V185" s="3" t="n">
        <v>5.32</v>
      </c>
      <c r="W185" s="3" t="n">
        <v>18.82441721399861</v>
      </c>
      <c r="X185" t="inlineStr"/>
    </row>
    <row r="186">
      <c r="A186" t="inlineStr">
        <is>
          <t>2025-05</t>
        </is>
      </c>
      <c r="B186" s="2" t="n">
        <v>118200000</v>
      </c>
      <c r="C186" s="2" t="n">
        <v>3288.89990234375</v>
      </c>
      <c r="D186" s="2" t="n">
        <v>103890049.4816575</v>
      </c>
      <c r="E186" s="2" t="n">
        <v>14309950.51834248</v>
      </c>
      <c r="F186" s="2" t="n">
        <v>26200</v>
      </c>
      <c r="G186" s="2" t="n">
        <v>24978</v>
      </c>
      <c r="H186" s="2" t="n">
        <v>1332.6</v>
      </c>
      <c r="I186" s="3" t="n">
        <v>4.675</v>
      </c>
      <c r="J186" t="inlineStr"/>
      <c r="K186" s="3" t="n">
        <v>35.08571428571427</v>
      </c>
      <c r="L186" s="3" t="n">
        <v>45.62109990941043</v>
      </c>
      <c r="M186" s="3" t="n">
        <v>2.849964669859473</v>
      </c>
      <c r="N186" s="3" t="n">
        <v>2.942631058358058</v>
      </c>
      <c r="O186" s="3" t="n">
        <v>5.617728180578885</v>
      </c>
      <c r="P186" s="3" t="n">
        <v>4.675</v>
      </c>
      <c r="Q186" s="3" t="n">
        <v>3.24</v>
      </c>
      <c r="R186" s="2" t="n">
        <v>18973143</v>
      </c>
      <c r="S186" s="3" t="n">
        <v>5.91</v>
      </c>
      <c r="T186" s="3" t="n">
        <v>17.62601334886789</v>
      </c>
      <c r="U186" s="2" t="n">
        <v>16665442.24</v>
      </c>
      <c r="V186" s="3" t="n">
        <v>6.72</v>
      </c>
      <c r="W186" s="3" t="n">
        <v>18.75089239098908</v>
      </c>
      <c r="X186" t="inlineStr"/>
    </row>
    <row r="187">
      <c r="A187" t="inlineStr">
        <is>
          <t>2025-06</t>
        </is>
      </c>
      <c r="B187" s="2" t="n">
        <v>119500000</v>
      </c>
      <c r="C187" s="2" t="n">
        <v>3307.699951171875</v>
      </c>
      <c r="D187" s="2" t="n">
        <v>104882700.5592059</v>
      </c>
      <c r="E187" s="2" t="n">
        <v>14617299.44079407</v>
      </c>
      <c r="F187" s="2" t="n">
        <v>26300</v>
      </c>
      <c r="G187" s="2" t="n">
        <v>25052</v>
      </c>
      <c r="H187" s="2" t="n">
        <v>1376.07</v>
      </c>
      <c r="I187" s="3" t="n">
        <v>4.675</v>
      </c>
      <c r="J187" t="inlineStr"/>
      <c r="K187" s="3" t="n">
        <v>55.235126006755</v>
      </c>
      <c r="L187" s="3" t="n">
        <v>45.96883064856596</v>
      </c>
      <c r="M187" s="3" t="n">
        <v>3.246574804695168</v>
      </c>
      <c r="N187" s="3" t="n">
        <v>3.256120682548835</v>
      </c>
      <c r="O187" s="3" t="n">
        <v>10.4993094144477</v>
      </c>
      <c r="P187" s="3" t="n">
        <v>4.675</v>
      </c>
      <c r="Q187" s="3" t="n">
        <v>3.57</v>
      </c>
      <c r="R187" s="2" t="n">
        <v>19584434</v>
      </c>
      <c r="S187" s="3" t="n">
        <v>9.32</v>
      </c>
      <c r="T187" s="3" t="n">
        <v>18.59933558229445</v>
      </c>
      <c r="U187" s="2" t="n">
        <v>17163138.4</v>
      </c>
      <c r="V187" s="3" t="n">
        <v>9.91</v>
      </c>
      <c r="W187" s="3" t="n">
        <v>19.22282657869936</v>
      </c>
      <c r="X187" s="3" t="n">
        <v>8.19</v>
      </c>
    </row>
    <row r="188">
      <c r="A188" t="inlineStr">
        <is>
          <t>2025-07</t>
        </is>
      </c>
      <c r="B188" s="2" t="n">
        <v>121400000</v>
      </c>
      <c r="C188" s="2" t="n">
        <v>3293.199951171875</v>
      </c>
      <c r="D188" s="2" t="n">
        <v>104740561.406169</v>
      </c>
      <c r="E188" s="2" t="n">
        <v>16659438.593831</v>
      </c>
      <c r="F188" s="2" t="n">
        <v>26380</v>
      </c>
      <c r="G188" s="2" t="n">
        <v>25240</v>
      </c>
      <c r="H188" s="2" t="n">
        <v>1502.52</v>
      </c>
      <c r="I188" s="3" t="n">
        <v>4.675</v>
      </c>
      <c r="J188" t="inlineStr"/>
      <c r="K188" s="3" t="n">
        <v>53.67088607594936</v>
      </c>
      <c r="L188" s="3" t="n">
        <v>40.84357808299499</v>
      </c>
      <c r="M188" s="3" t="n">
        <v>3.776553894571211</v>
      </c>
      <c r="N188" s="3" t="n">
        <v>4.018133113538025</v>
      </c>
      <c r="O188" s="3" t="n">
        <v>20.056571661433</v>
      </c>
      <c r="P188" s="3" t="n">
        <v>4.675</v>
      </c>
      <c r="Q188" s="3" t="n">
        <v>3.19</v>
      </c>
      <c r="R188" s="2" t="n">
        <v>19482760</v>
      </c>
      <c r="S188" s="3" t="n">
        <v>8.753737042806398</v>
      </c>
      <c r="T188" s="3" t="n">
        <v>18.78719843193846</v>
      </c>
      <c r="U188" s="2" t="n">
        <v>17215314.015952</v>
      </c>
      <c r="V188" s="3" t="n">
        <v>10.24</v>
      </c>
      <c r="W188" s="3" t="n">
        <v>19.77269517605968</v>
      </c>
      <c r="X188" t="inlineStr"/>
    </row>
    <row r="189">
      <c r="A189" t="inlineStr">
        <is>
          <t>2025-08</t>
        </is>
      </c>
      <c r="B189" s="2" t="n">
        <v>130600000</v>
      </c>
      <c r="C189" s="2" t="n">
        <v>3516.10009765625</v>
      </c>
      <c r="D189" s="2" t="n">
        <v>112347104.9738204</v>
      </c>
      <c r="E189" s="2" t="n">
        <v>18252895.0261796</v>
      </c>
      <c r="F189" s="2" t="n">
        <v>26502</v>
      </c>
      <c r="G189" s="2" t="n">
        <v>25240</v>
      </c>
      <c r="H189" s="2" t="n">
        <v>1682.21</v>
      </c>
      <c r="I189" s="3" t="n">
        <v>4.675</v>
      </c>
      <c r="J189" t="inlineStr"/>
      <c r="K189" s="3" t="n">
        <v>61.23456790123456</v>
      </c>
      <c r="L189" s="3" t="n">
        <v>47.28911978808696</v>
      </c>
      <c r="M189" s="3" t="n">
        <v>5.880942868557737</v>
      </c>
      <c r="N189" s="3" t="n">
        <v>4.082474226804123</v>
      </c>
      <c r="O189" s="3" t="n">
        <v>31.02650579887374</v>
      </c>
      <c r="P189" s="3" t="n">
        <v>4.675</v>
      </c>
      <c r="Q189" s="3" t="n">
        <v>3.24</v>
      </c>
      <c r="R189" s="2" t="n">
        <v>19685504</v>
      </c>
      <c r="S189" s="3" t="n">
        <v>9.88546415246676</v>
      </c>
      <c r="T189" s="3" t="n">
        <v>18.17239617528639</v>
      </c>
      <c r="U189" s="2" t="n">
        <v>17455803.707394</v>
      </c>
      <c r="V189" s="3" t="n">
        <v>11.78</v>
      </c>
      <c r="W189" s="3" t="n">
        <v>19.88407604137545</v>
      </c>
      <c r="X189" t="inlineStr"/>
    </row>
    <row r="190">
      <c r="A190" t="inlineStr">
        <is>
          <t>2025-09</t>
        </is>
      </c>
      <c r="B190" s="2" t="n">
        <v>136800000</v>
      </c>
      <c r="C190" s="2" t="n">
        <v>3873.199951171875</v>
      </c>
      <c r="D190" s="2" t="n">
        <v>123495723.0400414</v>
      </c>
      <c r="E190" s="2" t="n">
        <v>13304276.9599586</v>
      </c>
      <c r="F190" s="2" t="n">
        <v>26446</v>
      </c>
      <c r="G190" s="2" t="n">
        <v>25187</v>
      </c>
      <c r="H190" s="2" t="n">
        <v>1661.7</v>
      </c>
      <c r="I190" s="3" t="n">
        <v>4.675</v>
      </c>
      <c r="J190" t="inlineStr"/>
      <c r="K190" s="3" t="n">
        <v>63.83233532934132</v>
      </c>
      <c r="L190" s="3" t="n">
        <v>55.6849270619505</v>
      </c>
      <c r="M190" s="3" t="n">
        <v>6.895715440582051</v>
      </c>
      <c r="N190" s="3" t="n">
        <v>4.363139139802774</v>
      </c>
      <c r="O190" s="3" t="n">
        <v>29.01998540304673</v>
      </c>
      <c r="P190" s="3" t="n">
        <v>4.675</v>
      </c>
      <c r="Q190" s="3" t="n">
        <v>3.38</v>
      </c>
      <c r="R190" s="2" t="n">
        <v>19980717</v>
      </c>
      <c r="S190" s="3" t="n">
        <v>11.53335782736797</v>
      </c>
      <c r="T190" s="3" t="n">
        <v>17.88679049802844</v>
      </c>
      <c r="U190" s="2" t="n">
        <v>17780620.952978</v>
      </c>
      <c r="V190" s="3" t="n">
        <v>13.86</v>
      </c>
      <c r="W190" s="3" t="n">
        <v>20.10033360828523</v>
      </c>
      <c r="X190" s="3" t="n">
        <v>8.23</v>
      </c>
    </row>
    <row r="191">
      <c r="A191" t="inlineStr">
        <is>
          <t>2025-10</t>
        </is>
      </c>
      <c r="B191" s="2" t="n">
        <v>147800000</v>
      </c>
      <c r="C191" s="2" t="n">
        <v>3996.5</v>
      </c>
      <c r="D191" s="2" t="n">
        <v>126950084.5965888</v>
      </c>
      <c r="E191" s="2" t="n">
        <v>20849915.40341118</v>
      </c>
      <c r="F191" s="2" t="n">
        <v>26347</v>
      </c>
      <c r="G191" s="2" t="n">
        <v>25093</v>
      </c>
      <c r="H191" s="2" t="n">
        <v>1639.65</v>
      </c>
      <c r="I191" s="3" t="n">
        <v>4.675</v>
      </c>
      <c r="J191" t="inlineStr"/>
      <c r="K191" s="3" t="n">
        <v>64.22222222222223</v>
      </c>
      <c r="L191" s="3" t="n">
        <v>50.48771997462265</v>
      </c>
      <c r="M191" s="3" t="n">
        <v>3.524557956777996</v>
      </c>
      <c r="N191" s="3" t="n">
        <v>3.454957740672016</v>
      </c>
      <c r="O191" s="3" t="n">
        <v>29.66990383398709</v>
      </c>
      <c r="P191" s="3" t="n">
        <v>4.675</v>
      </c>
      <c r="Q191" s="3" t="n">
        <v>3.25</v>
      </c>
      <c r="R191" s="2" t="n">
        <v>18728084</v>
      </c>
      <c r="S191" s="3" t="n">
        <v>4.541098009295896</v>
      </c>
      <c r="T191" s="3" t="n">
        <v>9.474096468646165</v>
      </c>
      <c r="U191" s="2" t="n">
        <v>18007537</v>
      </c>
      <c r="V191" s="3" t="n">
        <v>15.31</v>
      </c>
      <c r="W191" s="3" t="n">
        <v>20.48141534271451</v>
      </c>
      <c r="X191" t="inlineStr"/>
    </row>
    <row r="192">
      <c r="A192" t="inlineStr">
        <is>
          <t>2025-11</t>
        </is>
      </c>
      <c r="B192" s="2" t="n">
        <v>154900000</v>
      </c>
      <c r="C192" s="2" t="n">
        <v>4254.89990234375</v>
      </c>
      <c r="D192" s="2" t="n">
        <v>135491684.4816939</v>
      </c>
      <c r="E192" s="2" t="n">
        <v>19408315.51830608</v>
      </c>
      <c r="F192" s="2" t="n">
        <v>26412</v>
      </c>
      <c r="G192" s="2" t="n">
        <v>25155</v>
      </c>
      <c r="H192" s="2" t="n">
        <v>1690.99</v>
      </c>
      <c r="I192" s="3" t="n">
        <v>4.675</v>
      </c>
      <c r="J192" t="inlineStr"/>
      <c r="K192" s="3" t="n">
        <v>80.53613053613053</v>
      </c>
      <c r="L192" s="3" t="n">
        <v>66.10760321510749</v>
      </c>
      <c r="M192" s="3" t="n">
        <v>3.726976397125248</v>
      </c>
      <c r="N192" s="3" t="n">
        <v>3.552609912728477</v>
      </c>
      <c r="O192" s="3" t="n">
        <v>35.22943556771108</v>
      </c>
      <c r="P192" s="3" t="n">
        <v>4.675</v>
      </c>
      <c r="Q192" s="3" t="n">
        <v>3.58</v>
      </c>
      <c r="R192" s="2" t="n">
        <v>18938260</v>
      </c>
      <c r="S192" s="3" t="n">
        <v>5.714310913253495</v>
      </c>
      <c r="T192" s="3" t="n">
        <v>9.45805022043027</v>
      </c>
      <c r="U192" s="2" t="n">
        <v>18247613</v>
      </c>
      <c r="V192" s="3" t="n">
        <v>16.85</v>
      </c>
      <c r="W192" s="3" t="n">
        <v>20.23483683504694</v>
      </c>
      <c r="X192" t="inlineStr"/>
    </row>
    <row r="193">
      <c r="A193" t="inlineStr">
        <is>
          <t>2025-12</t>
        </is>
      </c>
      <c r="B193" s="2" t="n">
        <v>152800000</v>
      </c>
      <c r="C193" s="2" t="n">
        <v>4341.10009765625</v>
      </c>
      <c r="D193" s="2" t="n">
        <v>138053431.2165981</v>
      </c>
      <c r="E193" s="2" t="n">
        <v>14746568.78340191</v>
      </c>
      <c r="F193" s="2" t="n">
        <v>26377</v>
      </c>
      <c r="G193" s="2" t="n">
        <v>25121</v>
      </c>
      <c r="H193" s="2" t="n">
        <v>1784.49</v>
      </c>
      <c r="I193" s="3" t="n">
        <v>4.804032258064516</v>
      </c>
      <c r="J193" t="inlineStr"/>
      <c r="K193" s="3" t="n">
        <v>81.47268408551069</v>
      </c>
      <c r="L193" s="3" t="n">
        <v>69.68712681308045</v>
      </c>
      <c r="M193" s="3" t="n">
        <v>3.2327501859027</v>
      </c>
      <c r="N193" s="3" t="n">
        <v>3.344577916735236</v>
      </c>
      <c r="O193" s="3" t="n">
        <v>40.86818547814144</v>
      </c>
      <c r="P193" s="3" t="n">
        <v>4.675</v>
      </c>
      <c r="Q193" s="3" t="n">
        <v>3.48</v>
      </c>
      <c r="R193" s="2" t="n">
        <v>19444476</v>
      </c>
      <c r="S193" s="3" t="n">
        <v>8.540033847317318</v>
      </c>
      <c r="T193" s="3" t="n">
        <v>8.540033847317318</v>
      </c>
      <c r="U193" s="2" t="n">
        <v>18815882</v>
      </c>
      <c r="V193" s="3" t="n">
        <v>19.07</v>
      </c>
      <c r="W193" s="3" t="n">
        <v>19.07000000000001</v>
      </c>
      <c r="X193" s="3" t="n">
        <v>8.460000000000001</v>
      </c>
    </row>
    <row r="194">
      <c r="A194" t="inlineStr">
        <is>
          <t>2026-01</t>
        </is>
      </c>
      <c r="B194" s="2" t="n">
        <v>172000000</v>
      </c>
      <c r="C194" s="2" t="n">
        <v>4745.10009765625</v>
      </c>
      <c r="D194" s="2" t="n">
        <v>149373740.3545477</v>
      </c>
      <c r="E194" s="2" t="n">
        <v>22626259.64545226</v>
      </c>
      <c r="F194" s="2" t="n">
        <v>26110</v>
      </c>
      <c r="G194" s="2" t="n">
        <v>25074</v>
      </c>
      <c r="H194" s="2" t="n">
        <v>1829.04</v>
      </c>
      <c r="I194" s="3" t="n">
        <v>4.925</v>
      </c>
      <c r="J194" t="inlineStr"/>
      <c r="K194" s="3" t="n">
        <v>93.69369369369369</v>
      </c>
      <c r="L194" s="3" t="n">
        <v>74.11620700894814</v>
      </c>
      <c r="M194" s="3" t="n">
        <v>3.201581027667988</v>
      </c>
      <c r="N194" t="inlineStr"/>
      <c r="O194" s="3" t="n">
        <v>44.58242757203272</v>
      </c>
      <c r="P194" s="3" t="n">
        <v>4.675</v>
      </c>
      <c r="Q194" s="3" t="n">
        <v>2.53</v>
      </c>
      <c r="R194" s="2" t="n">
        <v>19578695</v>
      </c>
      <c r="S194" s="3" t="n">
        <v>0.6902680226507529</v>
      </c>
      <c r="T194" s="3" t="n">
        <v>7.711804515240916</v>
      </c>
      <c r="U194" s="2" t="n">
        <v>18815882</v>
      </c>
      <c r="V194" s="3" t="n">
        <v>1.19</v>
      </c>
      <c r="W194" s="3" t="n">
        <v>19.82787966185979</v>
      </c>
      <c r="X194" t="inlineStr"/>
    </row>
    <row r="195">
      <c r="A195" t="inlineStr">
        <is>
          <t>2026-02</t>
        </is>
      </c>
      <c r="B195" s="2" t="n">
        <v>187000000</v>
      </c>
      <c r="C195" s="2" t="n">
        <v>5247.89990234375</v>
      </c>
      <c r="D195" s="2" t="n">
        <v>165960922.1291132</v>
      </c>
      <c r="E195" s="2" t="n">
        <v>21039077.87088683</v>
      </c>
      <c r="F195" s="2" t="n">
        <v>26230</v>
      </c>
      <c r="G195" s="2" t="n">
        <v>25044</v>
      </c>
      <c r="H195" s="2" t="n">
        <v>1880.33</v>
      </c>
      <c r="I195" s="3" t="n">
        <v>4.925</v>
      </c>
      <c r="J195" t="inlineStr"/>
      <c r="K195" s="3" t="n">
        <v>106.6298342541436</v>
      </c>
      <c r="L195" s="3" t="n">
        <v>87.81393994122072</v>
      </c>
      <c r="M195" s="3" t="n">
        <v>1.943256898561985</v>
      </c>
      <c r="N195" t="inlineStr"/>
      <c r="O195" s="3" t="n">
        <v>44.04685297542441</v>
      </c>
      <c r="P195" s="3" t="n">
        <v>4.675</v>
      </c>
      <c r="Q195" s="3" t="n">
        <v>3.35</v>
      </c>
      <c r="R195" s="2" t="n">
        <v>19641068</v>
      </c>
      <c r="S195" s="3" t="n">
        <v>1.01104293065033</v>
      </c>
      <c r="T195" s="3" t="n">
        <v>8.172392965409681</v>
      </c>
      <c r="U195" s="2" t="n">
        <v>19186249</v>
      </c>
      <c r="V195" s="3" t="n">
        <v>1.33</v>
      </c>
      <c r="W195" s="3" t="n">
        <v>19.74357979356889</v>
      </c>
      <c r="X195" t="inlineStr"/>
    </row>
    <row r="196">
      <c r="A196" t="inlineStr">
        <is>
          <t>2026-03</t>
        </is>
      </c>
      <c r="B196" s="2" t="n">
        <v>174900000</v>
      </c>
      <c r="C196" s="2" t="n">
        <v>4647.60009765625</v>
      </c>
      <c r="D196" s="2" t="n">
        <v>147688518.7043972</v>
      </c>
      <c r="E196" s="2" t="n">
        <v>27211481.29560283</v>
      </c>
      <c r="F196" s="2" t="n">
        <v>26357</v>
      </c>
      <c r="G196" s="2" t="n">
        <v>25102</v>
      </c>
      <c r="H196" s="2" t="n">
        <v>1674.49</v>
      </c>
      <c r="I196" s="3" t="n">
        <v>5.026612903225806</v>
      </c>
      <c r="J196" t="inlineStr"/>
      <c r="K196" s="3" t="n">
        <v>71.8074656188605</v>
      </c>
      <c r="L196" s="3" t="n">
        <v>52.39545281191398</v>
      </c>
      <c r="M196" s="3" t="n">
        <v>2.397047397047403</v>
      </c>
      <c r="N196" t="inlineStr"/>
      <c r="O196" s="3" t="n">
        <v>28.13078677134506</v>
      </c>
      <c r="P196" s="3" t="n">
        <v>4.675</v>
      </c>
      <c r="Q196" s="3" t="n">
        <v>4.65</v>
      </c>
      <c r="R196" s="2" t="n">
        <v>19635094</v>
      </c>
      <c r="S196" s="3" t="n">
        <v>0.9803195519385577</v>
      </c>
      <c r="T196" s="3" t="n">
        <v>6.423031448925709</v>
      </c>
      <c r="U196" s="2" t="n">
        <v>19186824</v>
      </c>
      <c r="V196" s="3" t="n">
        <v>3.18</v>
      </c>
      <c r="W196" s="3" t="n">
        <v>18.23349629487059</v>
      </c>
      <c r="X196" s="3" t="n">
        <v>7.83</v>
      </c>
    </row>
    <row r="197">
      <c r="A197" t="inlineStr">
        <is>
          <t>2026-04</t>
        </is>
      </c>
      <c r="B197" s="2" t="n">
        <v>166000000</v>
      </c>
      <c r="C197" s="2" t="n">
        <v>4629.60009765625</v>
      </c>
      <c r="D197" s="2" t="n">
        <v>147177924.5603389</v>
      </c>
      <c r="E197" s="2" t="n">
        <v>18822075.43966112</v>
      </c>
      <c r="F197" s="2" t="n">
        <v>26368</v>
      </c>
      <c r="G197" s="2" t="n">
        <v>25113</v>
      </c>
      <c r="H197" s="2" t="n">
        <v>1854.1</v>
      </c>
      <c r="I197" s="3" t="n">
        <v>5.275</v>
      </c>
      <c r="J197" t="inlineStr"/>
      <c r="K197" s="3" t="n">
        <v>36.85078318219291</v>
      </c>
      <c r="L197" s="3" t="n">
        <v>40.48523304130194</v>
      </c>
      <c r="M197" s="3" t="n">
        <v>0.7181054239877804</v>
      </c>
      <c r="N197" s="3" t="n">
        <v>0.6129807692307754</v>
      </c>
      <c r="O197" s="3" t="n">
        <v>51.19465057490012</v>
      </c>
      <c r="P197" s="3" t="n">
        <v>4.675</v>
      </c>
      <c r="Q197" s="3" t="n">
        <v>5.46</v>
      </c>
      <c r="R197" s="2" t="n">
        <v>19818534</v>
      </c>
      <c r="S197" s="3" t="n">
        <v>1.923723735214056</v>
      </c>
      <c r="T197" s="3" t="n">
        <v>5.859353363027076</v>
      </c>
      <c r="U197" s="2" t="n">
        <v>19447521</v>
      </c>
      <c r="V197" s="3" t="n">
        <v>4.59</v>
      </c>
      <c r="W197" s="3" t="n">
        <v>18.24469521458416</v>
      </c>
      <c r="X197" t="inlineStr"/>
    </row>
    <row r="198">
      <c r="A198" t="inlineStr">
        <is>
          <t>2026-05</t>
        </is>
      </c>
      <c r="B198" s="2" t="n">
        <v>159000000</v>
      </c>
      <c r="C198" s="2" t="n">
        <v>4593</v>
      </c>
      <c r="D198" s="2" t="n">
        <v>146163898.3554905</v>
      </c>
      <c r="E198" s="2" t="n">
        <v>12836101.64450946</v>
      </c>
      <c r="F198" s="2" t="n">
        <v>26395</v>
      </c>
      <c r="G198" s="2" t="n">
        <v>25139</v>
      </c>
      <c r="H198" s="2" t="n">
        <v>1863.49</v>
      </c>
      <c r="I198" s="3" t="n">
        <v>5.859677419354839</v>
      </c>
      <c r="J198" t="inlineStr"/>
      <c r="K198" s="3" t="n">
        <v>34.51776649746192</v>
      </c>
      <c r="L198" s="3" t="n">
        <v>40.69095075491012</v>
      </c>
      <c r="M198" s="3" t="n">
        <v>0.7442748091603058</v>
      </c>
      <c r="N198" s="3" t="n">
        <v>0.6445672191528473</v>
      </c>
      <c r="O198" s="3" t="n">
        <v>39.83866126369504</v>
      </c>
      <c r="P198" s="3" t="n">
        <v>4.675</v>
      </c>
      <c r="Q198" s="3" t="n">
        <v>5.6</v>
      </c>
      <c r="R198" s="2" t="n">
        <v>19974985</v>
      </c>
      <c r="S198" s="3" t="n">
        <v>2.728327572314115</v>
      </c>
      <c r="T198" s="3" t="n">
        <v>5.280316497904436</v>
      </c>
      <c r="U198" s="2" t="n">
        <v>19703851</v>
      </c>
      <c r="V198" s="3" t="n">
        <v>5.96</v>
      </c>
      <c r="W198" s="3" t="n">
        <v>18.22205022488759</v>
      </c>
      <c r="X198" t="inlineStr"/>
    </row>
    <row r="199">
      <c r="A199" t="inlineStr">
        <is>
          <t>2026-06</t>
        </is>
      </c>
      <c r="B199" s="2" t="n">
        <v>147000000</v>
      </c>
      <c r="C199" s="2" t="n">
        <v>4038.5</v>
      </c>
      <c r="D199" s="2" t="n">
        <v>128863641.9534779</v>
      </c>
      <c r="E199" s="2" t="n">
        <v>18136358.0465221</v>
      </c>
      <c r="F199" s="2" t="n">
        <v>26466</v>
      </c>
      <c r="G199" s="2" t="n">
        <v>25206</v>
      </c>
      <c r="H199" s="2" t="n">
        <v>1860.01</v>
      </c>
      <c r="I199" s="3" t="n">
        <v>5.9</v>
      </c>
      <c r="J199" t="inlineStr"/>
      <c r="K199" s="3" t="n">
        <v>23.01255230125523</v>
      </c>
      <c r="L199" s="3" t="n">
        <v>22.86453463384537</v>
      </c>
      <c r="M199" s="3" t="n">
        <v>0.6311787072243336</v>
      </c>
      <c r="N199" s="3" t="n">
        <v>0.6147213795305806</v>
      </c>
      <c r="O199" s="3" t="n">
        <v>35.16826905607999</v>
      </c>
      <c r="P199" s="3" t="n">
        <v>4.675</v>
      </c>
      <c r="Q199" s="3" t="n">
        <v>4.69</v>
      </c>
      <c r="R199" t="inlineStr"/>
      <c r="S199" t="inlineStr"/>
      <c r="T199" t="inlineStr"/>
      <c r="U199" t="inlineStr"/>
      <c r="V199" s="3" t="n">
        <v>8.369999999999999</v>
      </c>
      <c r="W199" s="3" t="n">
        <v>17.40165499044675</v>
      </c>
      <c r="X199" s="3" t="n">
        <v>8.390000000000001</v>
      </c>
    </row>
    <row r="200">
      <c r="A200" t="inlineStr">
        <is>
          <t>2026-07</t>
        </is>
      </c>
      <c r="B200" s="2" t="n">
        <v>141900000</v>
      </c>
      <c r="C200" s="2" t="n">
        <v>4107</v>
      </c>
      <c r="D200" s="2" t="n">
        <v>131168232.6747794</v>
      </c>
      <c r="E200" s="2" t="n">
        <v>10731767.32522063</v>
      </c>
      <c r="F200" s="2" t="n">
        <v>26490</v>
      </c>
      <c r="G200" s="2" t="n">
        <v>25338</v>
      </c>
      <c r="H200" s="2" t="n">
        <v>1735.78</v>
      </c>
      <c r="I200" s="3" t="n">
        <v>5.9</v>
      </c>
      <c r="J200" t="inlineStr"/>
      <c r="K200" s="3" t="n">
        <v>16.88632619439869</v>
      </c>
      <c r="L200" s="3" t="n">
        <v>25.23155395943279</v>
      </c>
      <c r="M200" s="3" t="n">
        <v>0.4169825625473855</v>
      </c>
      <c r="N200" s="3" t="n">
        <v>0.3882725832012657</v>
      </c>
      <c r="O200" s="3" t="n">
        <v>15.5245853632564</v>
      </c>
      <c r="P200" s="3" t="n">
        <v>4.675</v>
      </c>
      <c r="Q200" s="3" t="n">
        <v>4.45</v>
      </c>
      <c r="R200" t="inlineStr"/>
      <c r="S200" t="inlineStr"/>
      <c r="T200" t="inlineStr"/>
      <c r="U200" t="inlineStr"/>
      <c r="V200" s="3" t="n">
        <v>8.970000000000001</v>
      </c>
      <c r="W200" s="3" t="n">
        <v>17.69827558055155</v>
      </c>
      <c r="X200" t="inlineStr"/>
    </row>
    <row r="201">
      <c r="A201" t="inlineStr">
        <is>
          <t>2026-08</t>
        </is>
      </c>
      <c r="B201" s="2" t="n">
        <v>148700000</v>
      </c>
      <c r="C201" s="2" t="n">
        <v>4481.5</v>
      </c>
      <c r="D201" s="2" t="n">
        <v>142912785.136721</v>
      </c>
      <c r="E201" s="2" t="n">
        <v>5787214.863279045</v>
      </c>
      <c r="F201" s="2" t="n">
        <v>26450</v>
      </c>
      <c r="G201" s="2" t="n">
        <v>25491</v>
      </c>
      <c r="H201" s="2" t="n">
        <v>1832.12</v>
      </c>
      <c r="I201" s="3" t="n">
        <v>5.9</v>
      </c>
      <c r="J201" t="inlineStr"/>
      <c r="K201" s="3" t="n">
        <v>13.85911179173047</v>
      </c>
      <c r="L201" s="3" t="n">
        <v>27.20646888945033</v>
      </c>
      <c r="M201" s="3" t="n">
        <v>-0.1962116066711928</v>
      </c>
      <c r="N201" s="3" t="n">
        <v>0.9944532488114</v>
      </c>
      <c r="O201" s="3" t="n">
        <v>8.911491430915275</v>
      </c>
      <c r="P201" s="3" t="n">
        <v>4.675</v>
      </c>
      <c r="Q201" s="3" t="n">
        <v>4.89</v>
      </c>
      <c r="R201" t="inlineStr"/>
      <c r="S201" t="inlineStr"/>
      <c r="T201" t="inlineStr"/>
      <c r="U201" t="inlineStr"/>
      <c r="V201" s="3" t="n">
        <v>10.19</v>
      </c>
      <c r="W201" s="3" t="n">
        <v>17.37630434782613</v>
      </c>
      <c r="X201" t="inlineStr"/>
    </row>
    <row r="202">
      <c r="A202" t="inlineStr">
        <is>
          <t>2026-09</t>
        </is>
      </c>
      <c r="B202" s="2" t="n">
        <v>144100000</v>
      </c>
      <c r="C202" s="2" t="n">
        <v>4186.7001953125</v>
      </c>
      <c r="D202" s="2" t="n">
        <v>133511767.3646241</v>
      </c>
      <c r="E202" s="2" t="n">
        <v>10588232.63537589</v>
      </c>
      <c r="F202" t="inlineStr"/>
      <c r="G202" t="inlineStr"/>
      <c r="H202" s="2" t="n">
        <v>1768.62</v>
      </c>
      <c r="I202" s="3" t="n">
        <v>5.9</v>
      </c>
      <c r="J202" t="inlineStr"/>
      <c r="K202" s="3" t="n">
        <v>5.336257309941517</v>
      </c>
      <c r="L202" s="3" t="n">
        <v>8.110438222492267</v>
      </c>
      <c r="M202" t="inlineStr"/>
      <c r="N202" t="inlineStr"/>
      <c r="O202" s="3" t="n">
        <v>6.434374435818735</v>
      </c>
      <c r="P202" s="3" t="n">
        <v>4.675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2026-10</t>
        </is>
      </c>
      <c r="B203" s="2" t="n">
        <v>143000000</v>
      </c>
      <c r="C203" s="2" t="n">
        <v>4182.39990234375</v>
      </c>
      <c r="D203" s="2" t="n">
        <v>133374633.180742</v>
      </c>
      <c r="E203" s="2" t="n">
        <v>9625366.819258049</v>
      </c>
      <c r="F203" t="inlineStr"/>
      <c r="G203" t="inlineStr"/>
      <c r="H203" s="2" t="n">
        <v>1753.39</v>
      </c>
      <c r="I203" s="3" t="n">
        <v>5.900000000000001</v>
      </c>
      <c r="J203" t="inlineStr"/>
      <c r="K203" s="3" t="n">
        <v>-3.247631935047357</v>
      </c>
      <c r="L203" s="3" t="n">
        <v>5.060688698686988</v>
      </c>
      <c r="M203" t="inlineStr"/>
      <c r="N203" t="inlineStr"/>
      <c r="O203" s="3" t="n">
        <v>6.936846278169129</v>
      </c>
      <c r="P203" s="3" t="n">
        <v>4.675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35" customWidth="1" min="5" max="5"/>
    <col width="31" customWidth="1" min="6" max="6"/>
    <col width="17" customWidth="1" min="7" max="7"/>
    <col width="16" customWidth="1" min="8" max="8"/>
    <col width="26" customWidth="1" min="9" max="9"/>
    <col width="29" customWidth="1" min="10" max="10"/>
    <col width="12" customWidth="1" min="11" max="11"/>
    <col width="17" customWidth="1" min="12" max="12"/>
    <col width="33" customWidth="1" min="13" max="13"/>
    <col width="19" customWidth="1" min="14" max="14"/>
    <col width="26" customWidth="1" min="15" max="15"/>
    <col width="38" customWidth="1" min="16" max="16"/>
    <col width="44" customWidth="1" min="17" max="17"/>
    <col width="12" customWidth="1" min="18" max="18"/>
  </cols>
  <sheetData>
    <row r="1">
      <c r="A1" s="1" t="inlineStr">
        <is>
          <t>time</t>
        </is>
      </c>
      <c r="B1" s="1" t="inlineStr">
        <is>
          <t>Kỳ cuối</t>
        </is>
      </c>
      <c r="C1" s="1" t="inlineStr">
        <is>
          <t>Vàng SJC bán (VND/lượng)</t>
        </is>
      </c>
      <c r="D1" s="1" t="inlineStr">
        <is>
          <t>LN vàng SJC (%)</t>
        </is>
      </c>
      <c r="E1" s="1" t="inlineStr">
        <is>
          <t>Vàng thế giới quy đổi (VND/lượng)</t>
        </is>
      </c>
      <c r="F1" s="1" t="inlineStr">
        <is>
          <t>LN vàng thế giới tính VND (%)</t>
        </is>
      </c>
      <c r="G1" s="1" t="inlineStr">
        <is>
          <t>USD/VND VCB bán</t>
        </is>
      </c>
      <c r="H1" s="1" t="inlineStr">
        <is>
          <t>LN USD VCB (%)</t>
        </is>
      </c>
      <c r="I1" s="1" t="inlineStr">
        <is>
          <t>USD/VND tỷ giá trung tâm</t>
        </is>
      </c>
      <c r="J1" s="1" t="inlineStr">
        <is>
          <t>LN USD tỷ giá trung tâm (%)</t>
        </is>
      </c>
      <c r="K1" s="1" t="inlineStr">
        <is>
          <t>VN-Index</t>
        </is>
      </c>
      <c r="L1" s="1" t="inlineStr">
        <is>
          <t>LN VN-Index (%)</t>
        </is>
      </c>
      <c r="M1" s="1" t="inlineStr">
        <is>
          <t>LN tiết kiệm 12T (LS BQ năm, %)</t>
        </is>
      </c>
      <c r="N1" s="1" t="inlineStr">
        <is>
          <t>CPI bình quân (%)</t>
        </is>
      </c>
      <c r="O1" s="1" t="inlineStr">
        <is>
          <t>Tăng trưởng GDP thực (%)</t>
        </is>
      </c>
      <c r="P1" s="1" t="inlineStr">
        <is>
          <t>Tăng trưởng M2 so cuối năm trước (%)</t>
        </is>
      </c>
      <c r="Q1" s="1" t="inlineStr">
        <is>
          <t>Tăng trưởng tín dụng so cuối năm trước (%)</t>
        </is>
      </c>
      <c r="R1" s="1" t="inlineStr">
        <is>
          <t>Ghi chú</t>
        </is>
      </c>
    </row>
    <row r="2">
      <c r="A2" t="n">
        <v>2010</v>
      </c>
      <c r="B2" t="inlineStr">
        <is>
          <t>2010-12</t>
        </is>
      </c>
      <c r="C2" s="2" t="n">
        <v>36000000</v>
      </c>
      <c r="D2" t="inlineStr"/>
      <c r="E2" s="2" t="n">
        <v>32437183.20019408</v>
      </c>
      <c r="F2" t="inlineStr"/>
      <c r="G2" t="inlineStr"/>
      <c r="H2" t="inlineStr"/>
      <c r="I2" s="2" t="n">
        <v>18932</v>
      </c>
      <c r="J2" t="inlineStr"/>
      <c r="K2" s="3" t="n">
        <v>484.7</v>
      </c>
      <c r="L2" t="inlineStr"/>
      <c r="M2" s="3" t="n">
        <v>11.19375</v>
      </c>
      <c r="N2" t="inlineStr"/>
      <c r="O2" t="inlineStr"/>
      <c r="P2" s="3" t="n">
        <v>25</v>
      </c>
      <c r="Q2" s="3" t="n">
        <v>29.55</v>
      </c>
      <c r="R2" t="inlineStr"/>
    </row>
    <row r="3">
      <c r="A3" t="n">
        <v>2011</v>
      </c>
      <c r="B3" t="inlineStr">
        <is>
          <t>2011-12</t>
        </is>
      </c>
      <c r="C3" s="2" t="n">
        <v>41800000</v>
      </c>
      <c r="D3" s="3" t="n">
        <v>16.11111111111112</v>
      </c>
      <c r="E3" s="2" t="n">
        <v>39319309.02108146</v>
      </c>
      <c r="F3" s="3" t="n">
        <v>21.21678007123071</v>
      </c>
      <c r="G3" t="inlineStr"/>
      <c r="H3" t="inlineStr"/>
      <c r="I3" s="2" t="n">
        <v>20828</v>
      </c>
      <c r="J3" s="3" t="n">
        <v>10.01478977392773</v>
      </c>
      <c r="K3" s="3" t="n">
        <v>351.55</v>
      </c>
      <c r="L3" s="3" t="n">
        <v>-27.47060037136373</v>
      </c>
      <c r="M3" s="3" t="n">
        <v>13.9935</v>
      </c>
      <c r="N3" s="3" t="n">
        <v>18.58</v>
      </c>
      <c r="O3" s="3" t="n">
        <v>5.89</v>
      </c>
      <c r="P3" s="3" t="n">
        <v>9.27</v>
      </c>
      <c r="Q3" s="3" t="n">
        <v>10.9</v>
      </c>
      <c r="R3" t="inlineStr"/>
    </row>
    <row r="4">
      <c r="A4" t="n">
        <v>2012</v>
      </c>
      <c r="B4" t="inlineStr">
        <is>
          <t>2012-12</t>
        </is>
      </c>
      <c r="C4" s="2" t="n">
        <v>46300000</v>
      </c>
      <c r="D4" s="3" t="n">
        <v>10.76555023923444</v>
      </c>
      <c r="E4" s="2" t="n">
        <v>42056443.10567001</v>
      </c>
      <c r="F4" s="3" t="n">
        <v>6.96129752209278</v>
      </c>
      <c r="G4" t="inlineStr"/>
      <c r="H4" t="inlineStr"/>
      <c r="I4" s="2" t="n">
        <v>20828</v>
      </c>
      <c r="J4" s="3" t="n">
        <v>0</v>
      </c>
      <c r="K4" s="3" t="n">
        <v>413.73</v>
      </c>
      <c r="L4" s="3" t="n">
        <v>17.68738444033566</v>
      </c>
      <c r="M4" s="3" t="n">
        <v>10.5036666666667</v>
      </c>
      <c r="N4" s="3" t="n">
        <v>9.210000000000001</v>
      </c>
      <c r="O4" s="3" t="n">
        <v>5.03</v>
      </c>
      <c r="P4" s="3" t="n">
        <v>38.94</v>
      </c>
      <c r="Q4" s="3" t="n">
        <v>10.98</v>
      </c>
      <c r="R4" t="inlineStr"/>
    </row>
    <row r="5">
      <c r="A5" t="n">
        <v>2013</v>
      </c>
      <c r="B5" t="inlineStr">
        <is>
          <t>2013-12</t>
        </is>
      </c>
      <c r="C5" s="2" t="n">
        <v>34780000</v>
      </c>
      <c r="D5" s="3" t="n">
        <v>-24.88120950323974</v>
      </c>
      <c r="E5" s="2" t="n">
        <v>30482705.62023672</v>
      </c>
      <c r="F5" s="3" t="n">
        <v>-27.51953477462036</v>
      </c>
      <c r="G5" t="inlineStr"/>
      <c r="H5" t="inlineStr"/>
      <c r="I5" s="2" t="n">
        <v>21036</v>
      </c>
      <c r="J5" s="3" t="n">
        <v>0.998655655847891</v>
      </c>
      <c r="K5" s="3" t="n">
        <v>504.63</v>
      </c>
      <c r="L5" s="3" t="n">
        <v>21.9708505547096</v>
      </c>
      <c r="M5" s="3" t="n">
        <v>7.14</v>
      </c>
      <c r="N5" s="3" t="n">
        <v>6.6</v>
      </c>
      <c r="O5" s="3" t="n">
        <v>5.42</v>
      </c>
      <c r="P5" s="3" t="n">
        <v>18.85</v>
      </c>
      <c r="Q5" s="3" t="n">
        <v>12.52</v>
      </c>
      <c r="R5" t="inlineStr"/>
    </row>
    <row r="6">
      <c r="A6" t="n">
        <v>2014</v>
      </c>
      <c r="B6" t="inlineStr">
        <is>
          <t>2014-12</t>
        </is>
      </c>
      <c r="C6" s="2" t="n">
        <v>35130000</v>
      </c>
      <c r="D6" s="3" t="n">
        <v>1.006325474410574</v>
      </c>
      <c r="E6" s="2" t="n">
        <v>30325935.88989322</v>
      </c>
      <c r="F6" s="3" t="n">
        <v>-0.5142907335608404</v>
      </c>
      <c r="G6" t="inlineStr"/>
      <c r="H6" t="inlineStr"/>
      <c r="I6" s="2" t="n">
        <v>21246</v>
      </c>
      <c r="J6" s="3" t="n">
        <v>0.9982886480319531</v>
      </c>
      <c r="K6" s="3" t="n">
        <v>545.63</v>
      </c>
      <c r="L6" s="3" t="n">
        <v>8.124764679071795</v>
      </c>
      <c r="M6" s="3" t="n">
        <v>5.7575</v>
      </c>
      <c r="N6" s="3" t="n">
        <v>4.09</v>
      </c>
      <c r="O6" s="3" t="n">
        <v>5.98</v>
      </c>
      <c r="P6" s="3" t="n">
        <v>17.69</v>
      </c>
      <c r="Q6" s="3" t="n">
        <v>14.16</v>
      </c>
      <c r="R6" t="inlineStr"/>
    </row>
    <row r="7">
      <c r="A7" t="n">
        <v>2015</v>
      </c>
      <c r="B7" t="inlineStr">
        <is>
          <t>2015-12</t>
        </is>
      </c>
      <c r="C7" s="2" t="n">
        <v>32700000</v>
      </c>
      <c r="D7" s="3" t="n">
        <v>-6.917164816396237</v>
      </c>
      <c r="E7" s="2" t="n">
        <v>28762941.99041042</v>
      </c>
      <c r="F7" s="3" t="n">
        <v>-5.153984052323002</v>
      </c>
      <c r="G7" s="2" t="n">
        <v>22500</v>
      </c>
      <c r="H7" t="inlineStr"/>
      <c r="I7" s="2" t="n">
        <v>21890</v>
      </c>
      <c r="J7" s="3" t="n">
        <v>3.031158806363554</v>
      </c>
      <c r="K7" s="3" t="n">
        <v>579.03</v>
      </c>
      <c r="L7" s="3" t="n">
        <v>6.121364294485265</v>
      </c>
      <c r="M7" s="3" t="n">
        <v>4.7475</v>
      </c>
      <c r="N7" s="3" t="n">
        <v>0.63</v>
      </c>
      <c r="O7" s="3" t="n">
        <v>6.68</v>
      </c>
      <c r="P7" s="3" t="n">
        <v>16.23</v>
      </c>
      <c r="Q7" s="3" t="n">
        <v>17.26</v>
      </c>
      <c r="R7" t="inlineStr"/>
    </row>
    <row r="8">
      <c r="A8" t="n">
        <v>2016</v>
      </c>
      <c r="B8" t="inlineStr">
        <is>
          <t>2016-12</t>
        </is>
      </c>
      <c r="C8" s="2" t="n">
        <v>36100000</v>
      </c>
      <c r="D8" s="3" t="n">
        <v>10.39755351681957</v>
      </c>
      <c r="E8" s="2" t="n">
        <v>31591400.48547591</v>
      </c>
      <c r="F8" s="3" t="n">
        <v>9.83368980825572</v>
      </c>
      <c r="G8" s="2" t="n">
        <v>22785</v>
      </c>
      <c r="H8" s="3" t="n">
        <v>1.26666666666666</v>
      </c>
      <c r="I8" s="2" t="n">
        <v>22159</v>
      </c>
      <c r="J8" s="3" t="n">
        <v>1.228871630881678</v>
      </c>
      <c r="K8" s="3" t="n">
        <v>664.87</v>
      </c>
      <c r="L8" s="3" t="n">
        <v>14.82479318860854</v>
      </c>
      <c r="M8" s="3" t="n">
        <v>6.386843637992832</v>
      </c>
      <c r="N8" s="3" t="n">
        <v>2.66</v>
      </c>
      <c r="O8" s="3" t="n">
        <v>6.21</v>
      </c>
      <c r="P8" s="3" t="n">
        <v>18.38</v>
      </c>
      <c r="Q8" s="3" t="n">
        <v>18.25</v>
      </c>
      <c r="R8" t="inlineStr"/>
    </row>
    <row r="9">
      <c r="A9" t="n">
        <v>2017</v>
      </c>
      <c r="B9" t="inlineStr">
        <is>
          <t>2017-12</t>
        </is>
      </c>
      <c r="C9" s="2" t="n">
        <v>36440000</v>
      </c>
      <c r="D9" s="3" t="n">
        <v>0.9418282548476542</v>
      </c>
      <c r="E9" s="2" t="n">
        <v>35806338.04488332</v>
      </c>
      <c r="F9" s="3" t="n">
        <v>13.34204085490043</v>
      </c>
      <c r="G9" s="2" t="n">
        <v>22735</v>
      </c>
      <c r="H9" s="3" t="n">
        <v>-0.2194426157559826</v>
      </c>
      <c r="I9" s="2" t="n">
        <v>22425</v>
      </c>
      <c r="J9" s="3" t="n">
        <v>1.200415181190495</v>
      </c>
      <c r="K9" s="3" t="n">
        <v>984.24</v>
      </c>
      <c r="L9" s="3" t="n">
        <v>48.03495420157324</v>
      </c>
      <c r="M9" s="3" t="n">
        <v>6.685489311315924</v>
      </c>
      <c r="N9" s="3" t="n">
        <v>3.53</v>
      </c>
      <c r="O9" s="3" t="n">
        <v>6.81</v>
      </c>
      <c r="P9" s="3" t="n">
        <v>14.97</v>
      </c>
      <c r="Q9" s="3" t="n">
        <v>14.97</v>
      </c>
      <c r="R9" t="inlineStr"/>
    </row>
    <row r="10">
      <c r="A10" t="n">
        <v>2018</v>
      </c>
      <c r="B10" t="inlineStr">
        <is>
          <t>2018-12</t>
        </is>
      </c>
      <c r="C10" s="2" t="n">
        <v>36570000</v>
      </c>
      <c r="D10" s="3" t="n">
        <v>0.3567508232711347</v>
      </c>
      <c r="E10" s="2" t="n">
        <v>35824848.4515526</v>
      </c>
      <c r="F10" s="3" t="n">
        <v>0.05169589430251698</v>
      </c>
      <c r="G10" s="2" t="n">
        <v>23245</v>
      </c>
      <c r="H10" s="3" t="n">
        <v>2.243237299318235</v>
      </c>
      <c r="I10" s="2" t="n">
        <v>22825</v>
      </c>
      <c r="J10" s="3" t="n">
        <v>1.783723522853964</v>
      </c>
      <c r="K10" s="3" t="n">
        <v>892.54</v>
      </c>
      <c r="L10" s="3" t="n">
        <v>-9.316833292692838</v>
      </c>
      <c r="M10" s="3" t="n">
        <v>6.698781362007169</v>
      </c>
      <c r="N10" s="3" t="n">
        <v>3.54</v>
      </c>
      <c r="O10" s="3" t="n">
        <v>7.08</v>
      </c>
      <c r="P10" s="3" t="n">
        <v>12.44</v>
      </c>
      <c r="Q10" s="3" t="n">
        <v>13.92</v>
      </c>
      <c r="R10" t="inlineStr"/>
    </row>
    <row r="11">
      <c r="A11" t="n">
        <v>2019</v>
      </c>
      <c r="B11" t="inlineStr">
        <is>
          <t>2019-12</t>
        </is>
      </c>
      <c r="C11" s="2" t="n">
        <v>42750000</v>
      </c>
      <c r="D11" s="3" t="n">
        <v>16.89909762100081</v>
      </c>
      <c r="E11" s="2" t="n">
        <v>42557089.63621458</v>
      </c>
      <c r="F11" s="3" t="n">
        <v>18.79209955002674</v>
      </c>
      <c r="G11" s="2" t="n">
        <v>23230</v>
      </c>
      <c r="H11" s="3" t="n">
        <v>-0.06453000645300078</v>
      </c>
      <c r="I11" s="2" t="n">
        <v>23155</v>
      </c>
      <c r="J11" s="3" t="n">
        <v>1.445783132530121</v>
      </c>
      <c r="K11" s="3" t="n">
        <v>960.99</v>
      </c>
      <c r="L11" s="3" t="n">
        <v>7.669124072870681</v>
      </c>
      <c r="M11" s="3" t="n">
        <v>6.84247311827957</v>
      </c>
      <c r="N11" s="3" t="n">
        <v>2.79</v>
      </c>
      <c r="O11" s="3" t="n">
        <v>7.02</v>
      </c>
      <c r="P11" s="3" t="n">
        <v>14.78</v>
      </c>
      <c r="Q11" s="3" t="n">
        <v>13.65</v>
      </c>
      <c r="R11" t="inlineStr"/>
    </row>
    <row r="12">
      <c r="A12" t="n">
        <v>2020</v>
      </c>
      <c r="B12" t="inlineStr">
        <is>
          <t>2020-12</t>
        </is>
      </c>
      <c r="C12" s="2" t="n">
        <v>56100000</v>
      </c>
      <c r="D12" s="3" t="n">
        <v>31.2280701754386</v>
      </c>
      <c r="E12" s="2" t="n">
        <v>53042357.69273661</v>
      </c>
      <c r="F12" s="3" t="n">
        <v>24.63812292182557</v>
      </c>
      <c r="G12" s="2" t="n">
        <v>23215</v>
      </c>
      <c r="H12" s="3" t="n">
        <v>-0.06457167455875545</v>
      </c>
      <c r="I12" s="2" t="n">
        <v>23162</v>
      </c>
      <c r="J12" s="3" t="n">
        <v>0.03023105160873119</v>
      </c>
      <c r="K12" s="2" t="n">
        <v>1103.87</v>
      </c>
      <c r="L12" s="3" t="n">
        <v>14.86800070760361</v>
      </c>
      <c r="M12" s="3" t="n">
        <v>6.348440551229761</v>
      </c>
      <c r="N12" s="3" t="n">
        <v>3.23</v>
      </c>
      <c r="O12" s="3" t="n">
        <v>2.91</v>
      </c>
      <c r="P12" s="3" t="n">
        <v>14.53</v>
      </c>
      <c r="Q12" s="3" t="n">
        <v>12.17</v>
      </c>
      <c r="R12" t="inlineStr"/>
    </row>
    <row r="13">
      <c r="A13" t="n">
        <v>2021</v>
      </c>
      <c r="B13" t="inlineStr">
        <is>
          <t>2021-12</t>
        </is>
      </c>
      <c r="C13" s="2" t="n">
        <v>61650000</v>
      </c>
      <c r="D13" s="3" t="n">
        <v>9.89304812834224</v>
      </c>
      <c r="E13" s="2" t="n">
        <v>50530701.65788782</v>
      </c>
      <c r="F13" s="3" t="n">
        <v>-4.73518927910086</v>
      </c>
      <c r="G13" s="2" t="n">
        <v>22920</v>
      </c>
      <c r="H13" s="3" t="n">
        <v>-1.270730131380571</v>
      </c>
      <c r="I13" s="2" t="n">
        <v>23193</v>
      </c>
      <c r="J13" s="3" t="n">
        <v>0.1338399101977306</v>
      </c>
      <c r="K13" s="2" t="n">
        <v>1498.28</v>
      </c>
      <c r="L13" s="3" t="n">
        <v>35.72975078587153</v>
      </c>
      <c r="M13" s="3" t="n">
        <v>5.563918010752688</v>
      </c>
      <c r="N13" s="3" t="n">
        <v>1.84</v>
      </c>
      <c r="O13" s="3" t="n">
        <v>2.58</v>
      </c>
      <c r="P13" s="3" t="n">
        <v>10.66</v>
      </c>
      <c r="Q13" s="3" t="n">
        <v>13.61</v>
      </c>
      <c r="R13" t="inlineStr"/>
    </row>
    <row r="14">
      <c r="A14" t="n">
        <v>2022</v>
      </c>
      <c r="B14" t="inlineStr">
        <is>
          <t>2022-12</t>
        </is>
      </c>
      <c r="C14" s="2" t="n">
        <v>67000000</v>
      </c>
      <c r="D14" s="3" t="n">
        <v>8.67802108678022</v>
      </c>
      <c r="E14" s="2" t="n">
        <v>52247807.53127694</v>
      </c>
      <c r="F14" s="3" t="n">
        <v>3.398143736484394</v>
      </c>
      <c r="G14" s="2" t="n">
        <v>23730</v>
      </c>
      <c r="H14" s="3" t="n">
        <v>3.534031413612571</v>
      </c>
      <c r="I14" s="2" t="n">
        <v>23631</v>
      </c>
      <c r="J14" s="3" t="n">
        <v>1.888500840770924</v>
      </c>
      <c r="K14" s="2" t="n">
        <v>1007.09</v>
      </c>
      <c r="L14" s="3" t="n">
        <v>-32.78359185199028</v>
      </c>
      <c r="M14" s="3" t="n">
        <v>5.917744175627241</v>
      </c>
      <c r="N14" s="3" t="n">
        <v>3.15</v>
      </c>
      <c r="O14" s="3" t="n">
        <v>8.02</v>
      </c>
      <c r="P14" s="3" t="n">
        <v>6.15</v>
      </c>
      <c r="Q14" s="3" t="n">
        <v>14.2</v>
      </c>
      <c r="R14" t="inlineStr"/>
    </row>
    <row r="15">
      <c r="A15" t="n">
        <v>2023</v>
      </c>
      <c r="B15" t="inlineStr">
        <is>
          <t>2023-12</t>
        </is>
      </c>
      <c r="C15" s="2" t="n">
        <v>74000000</v>
      </c>
      <c r="D15" s="3" t="n">
        <v>10.44776119402986</v>
      </c>
      <c r="E15" s="2" t="n">
        <v>60997987.19482873</v>
      </c>
      <c r="F15" s="3" t="n">
        <v>16.74745807910447</v>
      </c>
      <c r="G15" s="2" t="n">
        <v>24420</v>
      </c>
      <c r="H15" s="3" t="n">
        <v>2.907711757269271</v>
      </c>
      <c r="I15" s="2" t="n">
        <v>23915</v>
      </c>
      <c r="J15" s="3" t="n">
        <v>1.201811180229351</v>
      </c>
      <c r="K15" s="2" t="n">
        <v>1129.93</v>
      </c>
      <c r="L15" s="3" t="n">
        <v>12.19751958613431</v>
      </c>
      <c r="M15" s="3" t="n">
        <v>6.414224910394265</v>
      </c>
      <c r="N15" s="3" t="n">
        <v>3.25</v>
      </c>
      <c r="O15" s="3" t="n">
        <v>5.05</v>
      </c>
      <c r="P15" s="3" t="n">
        <v>12.46</v>
      </c>
      <c r="Q15" s="3" t="n">
        <v>13.78</v>
      </c>
      <c r="R15" t="inlineStr"/>
    </row>
    <row r="16">
      <c r="A16" t="n">
        <v>2024</v>
      </c>
      <c r="B16" t="inlineStr">
        <is>
          <t>2024-12</t>
        </is>
      </c>
      <c r="C16" s="2" t="n">
        <v>84200000</v>
      </c>
      <c r="D16" s="3" t="n">
        <v>13.78378378378378</v>
      </c>
      <c r="E16" s="2" t="n">
        <v>81357633.78719437</v>
      </c>
      <c r="F16" s="3" t="n">
        <v>33.37757117679399</v>
      </c>
      <c r="G16" s="2" t="n">
        <v>25551</v>
      </c>
      <c r="H16" s="3" t="n">
        <v>4.631449631449636</v>
      </c>
      <c r="I16" s="2" t="n">
        <v>24308</v>
      </c>
      <c r="J16" s="3" t="n">
        <v>1.643320091992484</v>
      </c>
      <c r="K16" s="2" t="n">
        <v>1266.78</v>
      </c>
      <c r="L16" s="3" t="n">
        <v>12.11136973086828</v>
      </c>
      <c r="M16" s="3" t="n">
        <v>4.710291527623285</v>
      </c>
      <c r="N16" s="3" t="n">
        <v>3.63</v>
      </c>
      <c r="O16" s="3" t="n">
        <v>7.09</v>
      </c>
      <c r="P16" s="3" t="n">
        <v>11.97</v>
      </c>
      <c r="Q16" s="3" t="n">
        <v>15.09</v>
      </c>
      <c r="R16" t="inlineStr"/>
    </row>
    <row r="17">
      <c r="A17" t="n">
        <v>2025</v>
      </c>
      <c r="B17" t="inlineStr">
        <is>
          <t>2025-12</t>
        </is>
      </c>
      <c r="C17" s="2" t="n">
        <v>152800000</v>
      </c>
      <c r="D17" s="3" t="n">
        <v>81.47268408551069</v>
      </c>
      <c r="E17" s="2" t="n">
        <v>138053431.2165981</v>
      </c>
      <c r="F17" s="3" t="n">
        <v>69.68712681308045</v>
      </c>
      <c r="G17" s="2" t="n">
        <v>26377</v>
      </c>
      <c r="H17" s="3" t="n">
        <v>3.2327501859027</v>
      </c>
      <c r="I17" s="2" t="n">
        <v>25121</v>
      </c>
      <c r="J17" s="3" t="n">
        <v>3.344577916735236</v>
      </c>
      <c r="K17" s="2" t="n">
        <v>1784.49</v>
      </c>
      <c r="L17" s="3" t="n">
        <v>40.86818547814144</v>
      </c>
      <c r="M17" s="3" t="n">
        <v>4.685752688172043</v>
      </c>
      <c r="N17" s="3" t="n">
        <v>3.31</v>
      </c>
      <c r="O17" s="3" t="n">
        <v>8.02</v>
      </c>
      <c r="P17" s="3" t="n">
        <v>8.540033847317318</v>
      </c>
      <c r="Q17" s="3" t="n">
        <v>19.07</v>
      </c>
      <c r="R17" t="inlineStr"/>
    </row>
    <row r="18">
      <c r="A18" t="n">
        <v>2026</v>
      </c>
      <c r="B18" t="inlineStr">
        <is>
          <t>2026-10</t>
        </is>
      </c>
      <c r="C18" s="2" t="n">
        <v>143000000</v>
      </c>
      <c r="D18" s="3" t="n">
        <v>-6.413612565445026</v>
      </c>
      <c r="E18" s="2" t="n">
        <v>133374633.180742</v>
      </c>
      <c r="F18" s="3" t="n">
        <v>-3.389121150140317</v>
      </c>
      <c r="G18" s="2" t="n">
        <v>26450</v>
      </c>
      <c r="H18" s="3" t="n">
        <v>0.2767562649277799</v>
      </c>
      <c r="I18" s="2" t="n">
        <v>25491</v>
      </c>
      <c r="J18" s="3" t="n">
        <v>1.472871302893997</v>
      </c>
      <c r="K18" s="2" t="n">
        <v>1753.39</v>
      </c>
      <c r="L18" s="3" t="n">
        <v>-1.742794860156116</v>
      </c>
      <c r="M18" s="3" t="n">
        <v>5.551129032258065</v>
      </c>
      <c r="N18" t="inlineStr"/>
      <c r="O18" t="inlineStr"/>
      <c r="P18" s="3" t="n">
        <v>2.728327572314115</v>
      </c>
      <c r="Q18" s="3" t="n">
        <v>10.19</v>
      </c>
      <c r="R18" t="inlineStr">
        <is>
          <t>Năm dở dang: giá đến 2026-10, M2 đến 2026-05, tín dụng đến 2026-08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27" customWidth="1" min="5" max="5"/>
    <col width="30" customWidth="1" min="6" max="6"/>
    <col width="43" customWidth="1" min="7" max="7"/>
  </cols>
  <sheetData>
    <row r="1">
      <c r="A1" s="1" t="inlineStr">
        <is>
          <t>time</t>
        </is>
      </c>
      <c r="B1" s="1" t="inlineStr">
        <is>
          <t>Fed - cận trên (%)</t>
        </is>
      </c>
      <c r="C1" s="1" t="inlineStr">
        <is>
          <t>Fed - cận dưới (%)</t>
        </is>
      </c>
      <c r="D1" s="1" t="inlineStr">
        <is>
          <t>Fed - EFFR (%)</t>
        </is>
      </c>
      <c r="E1" s="1" t="inlineStr">
        <is>
          <t>NHNN - LS tái cấp vốn (%)</t>
        </is>
      </c>
      <c r="F1" s="1" t="inlineStr">
        <is>
          <t>NHNN - LS tái chiết khấu (%)</t>
        </is>
      </c>
      <c r="G1" s="1" t="inlineStr">
        <is>
          <t>Chênh tái cấp vốn - Fed cận trên (điểm %)</t>
        </is>
      </c>
    </row>
    <row r="2">
      <c r="A2" t="inlineStr">
        <is>
          <t>2010-01</t>
        </is>
      </c>
      <c r="B2" s="3" t="n">
        <v>0.25</v>
      </c>
      <c r="C2" s="3" t="n">
        <v>0</v>
      </c>
      <c r="D2" s="3" t="n">
        <v>0.12</v>
      </c>
      <c r="E2" s="3" t="n">
        <v>8</v>
      </c>
      <c r="F2" s="3" t="n">
        <v>6</v>
      </c>
      <c r="G2" s="3" t="n">
        <v>7.75</v>
      </c>
    </row>
    <row r="3">
      <c r="A3" t="inlineStr">
        <is>
          <t>2010-02</t>
        </is>
      </c>
      <c r="B3" s="3" t="n">
        <v>0.25</v>
      </c>
      <c r="C3" s="3" t="n">
        <v>0</v>
      </c>
      <c r="D3" s="3" t="n">
        <v>0.13</v>
      </c>
      <c r="E3" s="3" t="n">
        <v>8</v>
      </c>
      <c r="F3" s="3" t="n">
        <v>6</v>
      </c>
      <c r="G3" s="3" t="n">
        <v>7.75</v>
      </c>
    </row>
    <row r="4">
      <c r="A4" t="inlineStr">
        <is>
          <t>2010-03</t>
        </is>
      </c>
      <c r="B4" s="3" t="n">
        <v>0.25</v>
      </c>
      <c r="C4" s="3" t="n">
        <v>0</v>
      </c>
      <c r="D4" s="3" t="n">
        <v>0.09</v>
      </c>
      <c r="E4" s="3" t="n">
        <v>8</v>
      </c>
      <c r="F4" s="3" t="n">
        <v>6</v>
      </c>
      <c r="G4" s="3" t="n">
        <v>7.75</v>
      </c>
    </row>
    <row r="5">
      <c r="A5" t="inlineStr">
        <is>
          <t>2010-04</t>
        </is>
      </c>
      <c r="B5" s="3" t="n">
        <v>0.25</v>
      </c>
      <c r="C5" s="3" t="n">
        <v>0</v>
      </c>
      <c r="D5" s="3" t="n">
        <v>0.2</v>
      </c>
      <c r="E5" s="3" t="n">
        <v>8</v>
      </c>
      <c r="F5" s="3" t="n">
        <v>6</v>
      </c>
      <c r="G5" s="3" t="n">
        <v>7.75</v>
      </c>
    </row>
    <row r="6">
      <c r="A6" t="inlineStr">
        <is>
          <t>2010-05</t>
        </is>
      </c>
      <c r="B6" s="3" t="n">
        <v>0.25</v>
      </c>
      <c r="C6" s="3" t="n">
        <v>0</v>
      </c>
      <c r="D6" s="3" t="n">
        <v>0.19</v>
      </c>
      <c r="E6" s="3" t="n">
        <v>8</v>
      </c>
      <c r="F6" s="3" t="n">
        <v>6</v>
      </c>
      <c r="G6" s="3" t="n">
        <v>7.75</v>
      </c>
    </row>
    <row r="7">
      <c r="A7" t="inlineStr">
        <is>
          <t>2010-06</t>
        </is>
      </c>
      <c r="B7" s="3" t="n">
        <v>0.25</v>
      </c>
      <c r="C7" s="3" t="n">
        <v>0</v>
      </c>
      <c r="D7" s="3" t="n">
        <v>0.09</v>
      </c>
      <c r="E7" s="3" t="n">
        <v>8</v>
      </c>
      <c r="F7" s="3" t="n">
        <v>6</v>
      </c>
      <c r="G7" s="3" t="n">
        <v>7.75</v>
      </c>
    </row>
    <row r="8">
      <c r="A8" t="inlineStr">
        <is>
          <t>2010-07</t>
        </is>
      </c>
      <c r="B8" s="3" t="n">
        <v>0.25</v>
      </c>
      <c r="C8" s="3" t="n">
        <v>0</v>
      </c>
      <c r="D8" s="3" t="n">
        <v>0.18</v>
      </c>
      <c r="E8" s="3" t="n">
        <v>8</v>
      </c>
      <c r="F8" s="3" t="n">
        <v>6</v>
      </c>
      <c r="G8" s="3" t="n">
        <v>7.75</v>
      </c>
    </row>
    <row r="9">
      <c r="A9" t="inlineStr">
        <is>
          <t>2010-08</t>
        </is>
      </c>
      <c r="B9" s="3" t="n">
        <v>0.25</v>
      </c>
      <c r="C9" s="3" t="n">
        <v>0</v>
      </c>
      <c r="D9" s="3" t="n">
        <v>0.21</v>
      </c>
      <c r="E9" s="3" t="n">
        <v>8</v>
      </c>
      <c r="F9" s="3" t="n">
        <v>6</v>
      </c>
      <c r="G9" s="3" t="n">
        <v>7.75</v>
      </c>
    </row>
    <row r="10">
      <c r="A10" t="inlineStr">
        <is>
          <t>2010-09</t>
        </is>
      </c>
      <c r="B10" s="3" t="n">
        <v>0.25</v>
      </c>
      <c r="C10" s="3" t="n">
        <v>0</v>
      </c>
      <c r="D10" s="3" t="n">
        <v>0.15</v>
      </c>
      <c r="E10" s="3" t="n">
        <v>8</v>
      </c>
      <c r="F10" s="3" t="n">
        <v>6</v>
      </c>
      <c r="G10" s="3" t="n">
        <v>7.75</v>
      </c>
    </row>
    <row r="11">
      <c r="A11" t="inlineStr">
        <is>
          <t>2010-10</t>
        </is>
      </c>
      <c r="B11" s="3" t="n">
        <v>0.25</v>
      </c>
      <c r="C11" s="3" t="n">
        <v>0</v>
      </c>
      <c r="D11" s="3" t="n">
        <v>0.2</v>
      </c>
      <c r="E11" s="3" t="n">
        <v>8</v>
      </c>
      <c r="F11" s="3" t="n">
        <v>6</v>
      </c>
      <c r="G11" s="3" t="n">
        <v>7.75</v>
      </c>
    </row>
    <row r="12">
      <c r="A12" t="inlineStr">
        <is>
          <t>2010-11</t>
        </is>
      </c>
      <c r="B12" s="3" t="n">
        <v>0.25</v>
      </c>
      <c r="C12" s="3" t="n">
        <v>0</v>
      </c>
      <c r="D12" s="3" t="n">
        <v>0.2</v>
      </c>
      <c r="E12" s="3" t="n">
        <v>9</v>
      </c>
      <c r="F12" s="3" t="n">
        <v>7</v>
      </c>
      <c r="G12" s="3" t="n">
        <v>8.75</v>
      </c>
    </row>
    <row r="13">
      <c r="A13" t="inlineStr">
        <is>
          <t>2010-12</t>
        </is>
      </c>
      <c r="B13" s="3" t="n">
        <v>0.25</v>
      </c>
      <c r="C13" s="3" t="n">
        <v>0</v>
      </c>
      <c r="D13" s="3" t="n">
        <v>0.13</v>
      </c>
      <c r="E13" s="3" t="n">
        <v>9</v>
      </c>
      <c r="F13" s="3" t="n">
        <v>7</v>
      </c>
      <c r="G13" s="3" t="n">
        <v>8.75</v>
      </c>
    </row>
    <row r="14">
      <c r="A14" t="inlineStr">
        <is>
          <t>2011-01</t>
        </is>
      </c>
      <c r="B14" s="3" t="n">
        <v>0.25</v>
      </c>
      <c r="C14" s="3" t="n">
        <v>0</v>
      </c>
      <c r="D14" s="3" t="n">
        <v>0.17</v>
      </c>
      <c r="E14" s="3" t="n">
        <v>9</v>
      </c>
      <c r="F14" s="3" t="n">
        <v>7</v>
      </c>
      <c r="G14" s="3" t="n">
        <v>8.75</v>
      </c>
    </row>
    <row r="15">
      <c r="A15" t="inlineStr">
        <is>
          <t>2011-02</t>
        </is>
      </c>
      <c r="B15" s="3" t="n">
        <v>0.25</v>
      </c>
      <c r="C15" s="3" t="n">
        <v>0</v>
      </c>
      <c r="D15" s="3" t="n">
        <v>0.16</v>
      </c>
      <c r="E15" s="3" t="n">
        <v>11</v>
      </c>
      <c r="F15" s="3" t="n">
        <v>7</v>
      </c>
      <c r="G15" s="3" t="n">
        <v>10.75</v>
      </c>
    </row>
    <row r="16">
      <c r="A16" t="inlineStr">
        <is>
          <t>2011-03</t>
        </is>
      </c>
      <c r="B16" s="3" t="n">
        <v>0.25</v>
      </c>
      <c r="C16" s="3" t="n">
        <v>0</v>
      </c>
      <c r="D16" s="3" t="n">
        <v>0.1</v>
      </c>
      <c r="E16" s="3" t="n">
        <v>12</v>
      </c>
      <c r="F16" s="3" t="n">
        <v>12</v>
      </c>
      <c r="G16" s="3" t="n">
        <v>11.75</v>
      </c>
    </row>
    <row r="17">
      <c r="A17" t="inlineStr">
        <is>
          <t>2011-04</t>
        </is>
      </c>
      <c r="B17" s="3" t="n">
        <v>0.25</v>
      </c>
      <c r="C17" s="3" t="n">
        <v>0</v>
      </c>
      <c r="D17" s="3" t="n">
        <v>0.09</v>
      </c>
      <c r="E17" s="3" t="n">
        <v>13</v>
      </c>
      <c r="F17" s="3" t="n">
        <v>12</v>
      </c>
      <c r="G17" s="3" t="n">
        <v>12.75</v>
      </c>
    </row>
    <row r="18">
      <c r="A18" t="inlineStr">
        <is>
          <t>2011-05</t>
        </is>
      </c>
      <c r="B18" s="3" t="n">
        <v>0.25</v>
      </c>
      <c r="C18" s="3" t="n">
        <v>0</v>
      </c>
      <c r="D18" s="3" t="n">
        <v>0.1</v>
      </c>
      <c r="E18" s="3" t="n">
        <v>14</v>
      </c>
      <c r="F18" s="3" t="n">
        <v>13</v>
      </c>
      <c r="G18" s="3" t="n">
        <v>13.75</v>
      </c>
    </row>
    <row r="19">
      <c r="A19" t="inlineStr">
        <is>
          <t>2011-06</t>
        </is>
      </c>
      <c r="B19" s="3" t="n">
        <v>0.25</v>
      </c>
      <c r="C19" s="3" t="n">
        <v>0</v>
      </c>
      <c r="D19" s="3" t="n">
        <v>0.07000000000000001</v>
      </c>
      <c r="E19" s="3" t="n">
        <v>14</v>
      </c>
      <c r="F19" s="3" t="n">
        <v>13</v>
      </c>
      <c r="G19" s="3" t="n">
        <v>13.75</v>
      </c>
    </row>
    <row r="20">
      <c r="A20" t="inlineStr">
        <is>
          <t>2011-07</t>
        </is>
      </c>
      <c r="B20" s="3" t="n">
        <v>0.25</v>
      </c>
      <c r="C20" s="3" t="n">
        <v>0</v>
      </c>
      <c r="D20" s="3" t="n">
        <v>0.11</v>
      </c>
      <c r="E20" s="3" t="n">
        <v>14</v>
      </c>
      <c r="F20" s="3" t="n">
        <v>13</v>
      </c>
      <c r="G20" s="3" t="n">
        <v>13.75</v>
      </c>
    </row>
    <row r="21">
      <c r="A21" t="inlineStr">
        <is>
          <t>2011-08</t>
        </is>
      </c>
      <c r="B21" s="3" t="n">
        <v>0.25</v>
      </c>
      <c r="C21" s="3" t="n">
        <v>0</v>
      </c>
      <c r="D21" s="3" t="n">
        <v>0.08</v>
      </c>
      <c r="E21" s="3" t="n">
        <v>14</v>
      </c>
      <c r="F21" s="3" t="n">
        <v>13</v>
      </c>
      <c r="G21" s="3" t="n">
        <v>13.75</v>
      </c>
    </row>
    <row r="22">
      <c r="A22" t="inlineStr">
        <is>
          <t>2011-09</t>
        </is>
      </c>
      <c r="B22" s="3" t="n">
        <v>0.25</v>
      </c>
      <c r="C22" s="3" t="n">
        <v>0</v>
      </c>
      <c r="D22" s="3" t="n">
        <v>0.06</v>
      </c>
      <c r="E22" s="3" t="n">
        <v>14</v>
      </c>
      <c r="F22" s="3" t="n">
        <v>13</v>
      </c>
      <c r="G22" s="3" t="n">
        <v>13.75</v>
      </c>
    </row>
    <row r="23">
      <c r="A23" t="inlineStr">
        <is>
          <t>2011-10</t>
        </is>
      </c>
      <c r="B23" s="3" t="n">
        <v>0.25</v>
      </c>
      <c r="C23" s="3" t="n">
        <v>0</v>
      </c>
      <c r="D23" s="3" t="n">
        <v>0.09</v>
      </c>
      <c r="E23" s="3" t="n">
        <v>15</v>
      </c>
      <c r="F23" s="3" t="n">
        <v>13</v>
      </c>
      <c r="G23" s="3" t="n">
        <v>14.75</v>
      </c>
    </row>
    <row r="24">
      <c r="A24" t="inlineStr">
        <is>
          <t>2011-11</t>
        </is>
      </c>
      <c r="B24" s="3" t="n">
        <v>0.25</v>
      </c>
      <c r="C24" s="3" t="n">
        <v>0</v>
      </c>
      <c r="D24" s="3" t="n">
        <v>0.1</v>
      </c>
      <c r="E24" s="3" t="n">
        <v>15</v>
      </c>
      <c r="F24" s="3" t="n">
        <v>13</v>
      </c>
      <c r="G24" s="3" t="n">
        <v>14.75</v>
      </c>
    </row>
    <row r="25">
      <c r="A25" t="inlineStr">
        <is>
          <t>2011-12</t>
        </is>
      </c>
      <c r="B25" s="3" t="n">
        <v>0.25</v>
      </c>
      <c r="C25" s="3" t="n">
        <v>0</v>
      </c>
      <c r="D25" s="3" t="n">
        <v>0.04</v>
      </c>
      <c r="E25" s="3" t="n">
        <v>15</v>
      </c>
      <c r="F25" s="3" t="n">
        <v>13</v>
      </c>
      <c r="G25" s="3" t="n">
        <v>14.75</v>
      </c>
    </row>
    <row r="26">
      <c r="A26" t="inlineStr">
        <is>
          <t>2012-01</t>
        </is>
      </c>
      <c r="B26" s="3" t="n">
        <v>0.25</v>
      </c>
      <c r="C26" s="3" t="n">
        <v>0</v>
      </c>
      <c r="D26" s="3" t="n">
        <v>0.11</v>
      </c>
      <c r="E26" s="3" t="n">
        <v>15</v>
      </c>
      <c r="F26" s="3" t="n">
        <v>13</v>
      </c>
      <c r="G26" s="3" t="n">
        <v>14.75</v>
      </c>
    </row>
    <row r="27">
      <c r="A27" t="inlineStr">
        <is>
          <t>2012-02</t>
        </is>
      </c>
      <c r="B27" s="3" t="n">
        <v>0.25</v>
      </c>
      <c r="C27" s="3" t="n">
        <v>0</v>
      </c>
      <c r="D27" s="3" t="n">
        <v>0.1</v>
      </c>
      <c r="E27" s="3" t="n">
        <v>15</v>
      </c>
      <c r="F27" s="3" t="n">
        <v>13</v>
      </c>
      <c r="G27" s="3" t="n">
        <v>14.75</v>
      </c>
    </row>
    <row r="28">
      <c r="A28" t="inlineStr">
        <is>
          <t>2012-03</t>
        </is>
      </c>
      <c r="B28" s="3" t="n">
        <v>0.25</v>
      </c>
      <c r="C28" s="3" t="n">
        <v>0</v>
      </c>
      <c r="D28" s="3" t="n">
        <v>0.09</v>
      </c>
      <c r="E28" s="3" t="n">
        <v>14</v>
      </c>
      <c r="F28" s="3" t="n">
        <v>12</v>
      </c>
      <c r="G28" s="3" t="n">
        <v>13.75</v>
      </c>
    </row>
    <row r="29">
      <c r="A29" t="inlineStr">
        <is>
          <t>2012-04</t>
        </is>
      </c>
      <c r="B29" s="3" t="n">
        <v>0.25</v>
      </c>
      <c r="C29" s="3" t="n">
        <v>0</v>
      </c>
      <c r="D29" s="3" t="n">
        <v>0.16</v>
      </c>
      <c r="E29" s="3" t="n">
        <v>13</v>
      </c>
      <c r="F29" s="3" t="n">
        <v>11</v>
      </c>
      <c r="G29" s="3" t="n">
        <v>12.75</v>
      </c>
    </row>
    <row r="30">
      <c r="A30" t="inlineStr">
        <is>
          <t>2012-05</t>
        </is>
      </c>
      <c r="B30" s="3" t="n">
        <v>0.25</v>
      </c>
      <c r="C30" s="3" t="n">
        <v>0</v>
      </c>
      <c r="D30" s="3" t="n">
        <v>0.16</v>
      </c>
      <c r="E30" s="3" t="n">
        <v>12</v>
      </c>
      <c r="F30" s="3" t="n">
        <v>10</v>
      </c>
      <c r="G30" s="3" t="n">
        <v>11.75</v>
      </c>
    </row>
    <row r="31">
      <c r="A31" t="inlineStr">
        <is>
          <t>2012-06</t>
        </is>
      </c>
      <c r="B31" s="3" t="n">
        <v>0.25</v>
      </c>
      <c r="C31" s="3" t="n">
        <v>0</v>
      </c>
      <c r="D31" s="3" t="n">
        <v>0.09</v>
      </c>
      <c r="E31" s="3" t="n">
        <v>11</v>
      </c>
      <c r="F31" s="3" t="n">
        <v>9</v>
      </c>
      <c r="G31" s="3" t="n">
        <v>10.75</v>
      </c>
    </row>
    <row r="32">
      <c r="A32" t="inlineStr">
        <is>
          <t>2012-07</t>
        </is>
      </c>
      <c r="B32" s="3" t="n">
        <v>0.25</v>
      </c>
      <c r="C32" s="3" t="n">
        <v>0</v>
      </c>
      <c r="D32" s="3" t="n">
        <v>0.13</v>
      </c>
      <c r="E32" s="3" t="n">
        <v>10</v>
      </c>
      <c r="F32" s="3" t="n">
        <v>8</v>
      </c>
      <c r="G32" s="3" t="n">
        <v>9.75</v>
      </c>
    </row>
    <row r="33">
      <c r="A33" t="inlineStr">
        <is>
          <t>2012-08</t>
        </is>
      </c>
      <c r="B33" s="3" t="n">
        <v>0.25</v>
      </c>
      <c r="C33" s="3" t="n">
        <v>0</v>
      </c>
      <c r="D33" s="3" t="n">
        <v>0.13</v>
      </c>
      <c r="E33" s="3" t="n">
        <v>10</v>
      </c>
      <c r="F33" s="3" t="n">
        <v>8</v>
      </c>
      <c r="G33" s="3" t="n">
        <v>9.75</v>
      </c>
    </row>
    <row r="34">
      <c r="A34" t="inlineStr">
        <is>
          <t>2012-09</t>
        </is>
      </c>
      <c r="B34" s="3" t="n">
        <v>0.25</v>
      </c>
      <c r="C34" s="3" t="n">
        <v>0</v>
      </c>
      <c r="D34" s="3" t="n">
        <v>0.09</v>
      </c>
      <c r="E34" s="3" t="n">
        <v>10</v>
      </c>
      <c r="F34" s="3" t="n">
        <v>8</v>
      </c>
      <c r="G34" s="3" t="n">
        <v>9.75</v>
      </c>
    </row>
    <row r="35">
      <c r="A35" t="inlineStr">
        <is>
          <t>2012-10</t>
        </is>
      </c>
      <c r="B35" s="3" t="n">
        <v>0.25</v>
      </c>
      <c r="C35" s="3" t="n">
        <v>0</v>
      </c>
      <c r="D35" s="3" t="n">
        <v>0.18</v>
      </c>
      <c r="E35" s="3" t="n">
        <v>10</v>
      </c>
      <c r="F35" s="3" t="n">
        <v>8</v>
      </c>
      <c r="G35" s="3" t="n">
        <v>9.75</v>
      </c>
    </row>
    <row r="36">
      <c r="A36" t="inlineStr">
        <is>
          <t>2012-11</t>
        </is>
      </c>
      <c r="B36" s="3" t="n">
        <v>0.25</v>
      </c>
      <c r="C36" s="3" t="n">
        <v>0</v>
      </c>
      <c r="D36" s="3" t="n">
        <v>0.16</v>
      </c>
      <c r="E36" s="3" t="n">
        <v>10</v>
      </c>
      <c r="F36" s="3" t="n">
        <v>8</v>
      </c>
      <c r="G36" s="3" t="n">
        <v>9.75</v>
      </c>
    </row>
    <row r="37">
      <c r="A37" t="inlineStr">
        <is>
          <t>2012-12</t>
        </is>
      </c>
      <c r="B37" s="3" t="n">
        <v>0.25</v>
      </c>
      <c r="C37" s="3" t="n">
        <v>0</v>
      </c>
      <c r="D37" s="3" t="n">
        <v>0.09</v>
      </c>
      <c r="E37" s="3" t="n">
        <v>9</v>
      </c>
      <c r="F37" s="3" t="n">
        <v>7</v>
      </c>
      <c r="G37" s="3" t="n">
        <v>8.75</v>
      </c>
    </row>
    <row r="38">
      <c r="A38" t="inlineStr">
        <is>
          <t>2013-01</t>
        </is>
      </c>
      <c r="B38" s="3" t="n">
        <v>0.25</v>
      </c>
      <c r="C38" s="3" t="n">
        <v>0</v>
      </c>
      <c r="D38" s="3" t="n">
        <v>0.15</v>
      </c>
      <c r="E38" s="3" t="n">
        <v>9</v>
      </c>
      <c r="F38" s="3" t="n">
        <v>7</v>
      </c>
      <c r="G38" s="3" t="n">
        <v>8.75</v>
      </c>
    </row>
    <row r="39">
      <c r="A39" t="inlineStr">
        <is>
          <t>2013-02</t>
        </is>
      </c>
      <c r="B39" s="3" t="n">
        <v>0.25</v>
      </c>
      <c r="C39" s="3" t="n">
        <v>0</v>
      </c>
      <c r="D39" s="3" t="n">
        <v>0.14</v>
      </c>
      <c r="E39" s="3" t="n">
        <v>9</v>
      </c>
      <c r="F39" s="3" t="n">
        <v>7</v>
      </c>
      <c r="G39" s="3" t="n">
        <v>8.75</v>
      </c>
    </row>
    <row r="40">
      <c r="A40" t="inlineStr">
        <is>
          <t>2013-03</t>
        </is>
      </c>
      <c r="B40" s="3" t="n">
        <v>0.25</v>
      </c>
      <c r="C40" s="3" t="n">
        <v>0</v>
      </c>
      <c r="D40" s="3" t="n">
        <v>0.09</v>
      </c>
      <c r="E40" s="3" t="n">
        <v>8</v>
      </c>
      <c r="F40" s="3" t="n">
        <v>6</v>
      </c>
      <c r="G40" s="3" t="n">
        <v>7.75</v>
      </c>
    </row>
    <row r="41">
      <c r="A41" t="inlineStr">
        <is>
          <t>2013-04</t>
        </is>
      </c>
      <c r="B41" s="3" t="n">
        <v>0.25</v>
      </c>
      <c r="C41" s="3" t="n">
        <v>0</v>
      </c>
      <c r="D41" s="3" t="n">
        <v>0.14</v>
      </c>
      <c r="E41" s="3" t="n">
        <v>8</v>
      </c>
      <c r="F41" s="3" t="n">
        <v>6</v>
      </c>
      <c r="G41" s="3" t="n">
        <v>7.75</v>
      </c>
    </row>
    <row r="42">
      <c r="A42" t="inlineStr">
        <is>
          <t>2013-05</t>
        </is>
      </c>
      <c r="B42" s="3" t="n">
        <v>0.25</v>
      </c>
      <c r="C42" s="3" t="n">
        <v>0</v>
      </c>
      <c r="D42" s="3" t="n">
        <v>0.09</v>
      </c>
      <c r="E42" s="3" t="n">
        <v>7</v>
      </c>
      <c r="F42" s="3" t="n">
        <v>5</v>
      </c>
      <c r="G42" s="3" t="n">
        <v>6.75</v>
      </c>
    </row>
    <row r="43">
      <c r="A43" t="inlineStr">
        <is>
          <t>2013-06</t>
        </is>
      </c>
      <c r="B43" s="3" t="n">
        <v>0.25</v>
      </c>
      <c r="C43" s="3" t="n">
        <v>0</v>
      </c>
      <c r="D43" s="3" t="n">
        <v>0.07000000000000001</v>
      </c>
      <c r="E43" s="3" t="n">
        <v>7</v>
      </c>
      <c r="F43" s="3" t="n">
        <v>5</v>
      </c>
      <c r="G43" s="3" t="n">
        <v>6.75</v>
      </c>
    </row>
    <row r="44">
      <c r="A44" t="inlineStr">
        <is>
          <t>2013-07</t>
        </is>
      </c>
      <c r="B44" s="3" t="n">
        <v>0.25</v>
      </c>
      <c r="C44" s="3" t="n">
        <v>0</v>
      </c>
      <c r="D44" s="3" t="n">
        <v>0.09</v>
      </c>
      <c r="E44" s="3" t="n">
        <v>7</v>
      </c>
      <c r="F44" s="3" t="n">
        <v>5</v>
      </c>
      <c r="G44" s="3" t="n">
        <v>6.75</v>
      </c>
    </row>
    <row r="45">
      <c r="A45" t="inlineStr">
        <is>
          <t>2013-08</t>
        </is>
      </c>
      <c r="B45" s="3" t="n">
        <v>0.25</v>
      </c>
      <c r="C45" s="3" t="n">
        <v>0</v>
      </c>
      <c r="D45" s="3" t="n">
        <v>0.07000000000000001</v>
      </c>
      <c r="E45" s="3" t="n">
        <v>7</v>
      </c>
      <c r="F45" s="3" t="n">
        <v>5</v>
      </c>
      <c r="G45" s="3" t="n">
        <v>6.75</v>
      </c>
    </row>
    <row r="46">
      <c r="A46" t="inlineStr">
        <is>
          <t>2013-09</t>
        </is>
      </c>
      <c r="B46" s="3" t="n">
        <v>0.25</v>
      </c>
      <c r="C46" s="3" t="n">
        <v>0</v>
      </c>
      <c r="D46" s="3" t="n">
        <v>0.06</v>
      </c>
      <c r="E46" s="3" t="n">
        <v>7</v>
      </c>
      <c r="F46" s="3" t="n">
        <v>5</v>
      </c>
      <c r="G46" s="3" t="n">
        <v>6.75</v>
      </c>
    </row>
    <row r="47">
      <c r="A47" t="inlineStr">
        <is>
          <t>2013-10</t>
        </is>
      </c>
      <c r="B47" s="3" t="n">
        <v>0.25</v>
      </c>
      <c r="C47" s="3" t="n">
        <v>0</v>
      </c>
      <c r="D47" s="3" t="n">
        <v>0.07000000000000001</v>
      </c>
      <c r="E47" s="3" t="n">
        <v>7</v>
      </c>
      <c r="F47" s="3" t="n">
        <v>5</v>
      </c>
      <c r="G47" s="3" t="n">
        <v>6.75</v>
      </c>
    </row>
    <row r="48">
      <c r="A48" t="inlineStr">
        <is>
          <t>2013-11</t>
        </is>
      </c>
      <c r="B48" s="3" t="n">
        <v>0.25</v>
      </c>
      <c r="C48" s="3" t="n">
        <v>0</v>
      </c>
      <c r="D48" s="3" t="n">
        <v>0.07000000000000001</v>
      </c>
      <c r="E48" s="3" t="n">
        <v>7</v>
      </c>
      <c r="F48" s="3" t="n">
        <v>5</v>
      </c>
      <c r="G48" s="3" t="n">
        <v>6.75</v>
      </c>
    </row>
    <row r="49">
      <c r="A49" t="inlineStr">
        <is>
          <t>2013-12</t>
        </is>
      </c>
      <c r="B49" s="3" t="n">
        <v>0.25</v>
      </c>
      <c r="C49" s="3" t="n">
        <v>0</v>
      </c>
      <c r="D49" s="3" t="n">
        <v>0.07000000000000001</v>
      </c>
      <c r="E49" s="3" t="n">
        <v>7</v>
      </c>
      <c r="F49" s="3" t="n">
        <v>5</v>
      </c>
      <c r="G49" s="3" t="n">
        <v>6.75</v>
      </c>
    </row>
    <row r="50">
      <c r="A50" t="inlineStr">
        <is>
          <t>2014-01</t>
        </is>
      </c>
      <c r="B50" s="3" t="n">
        <v>0.25</v>
      </c>
      <c r="C50" s="3" t="n">
        <v>0</v>
      </c>
      <c r="D50" s="3" t="n">
        <v>0.07000000000000001</v>
      </c>
      <c r="E50" s="3" t="n">
        <v>7</v>
      </c>
      <c r="F50" s="3" t="n">
        <v>5</v>
      </c>
      <c r="G50" s="3" t="n">
        <v>6.75</v>
      </c>
    </row>
    <row r="51">
      <c r="A51" t="inlineStr">
        <is>
          <t>2014-02</t>
        </is>
      </c>
      <c r="B51" s="3" t="n">
        <v>0.25</v>
      </c>
      <c r="C51" s="3" t="n">
        <v>0</v>
      </c>
      <c r="D51" s="3" t="n">
        <v>0.06</v>
      </c>
      <c r="E51" s="3" t="n">
        <v>7</v>
      </c>
      <c r="F51" s="3" t="n">
        <v>5</v>
      </c>
      <c r="G51" s="3" t="n">
        <v>6.75</v>
      </c>
    </row>
    <row r="52">
      <c r="A52" t="inlineStr">
        <is>
          <t>2014-03</t>
        </is>
      </c>
      <c r="B52" s="3" t="n">
        <v>0.25</v>
      </c>
      <c r="C52" s="3" t="n">
        <v>0</v>
      </c>
      <c r="D52" s="3" t="n">
        <v>0.06</v>
      </c>
      <c r="E52" s="3" t="n">
        <v>6.5</v>
      </c>
      <c r="F52" s="3" t="n">
        <v>4.5</v>
      </c>
      <c r="G52" s="3" t="n">
        <v>6.25</v>
      </c>
    </row>
    <row r="53">
      <c r="A53" t="inlineStr">
        <is>
          <t>2014-04</t>
        </is>
      </c>
      <c r="B53" s="3" t="n">
        <v>0.25</v>
      </c>
      <c r="C53" s="3" t="n">
        <v>0</v>
      </c>
      <c r="D53" s="3" t="n">
        <v>0.09</v>
      </c>
      <c r="E53" s="3" t="n">
        <v>6.5</v>
      </c>
      <c r="F53" s="3" t="n">
        <v>4.5</v>
      </c>
      <c r="G53" s="3" t="n">
        <v>6.25</v>
      </c>
    </row>
    <row r="54">
      <c r="A54" t="inlineStr">
        <is>
          <t>2014-05</t>
        </is>
      </c>
      <c r="B54" s="3" t="n">
        <v>0.25</v>
      </c>
      <c r="C54" s="3" t="n">
        <v>0</v>
      </c>
      <c r="D54" s="3" t="n">
        <v>0.08</v>
      </c>
      <c r="E54" s="3" t="n">
        <v>6.5</v>
      </c>
      <c r="F54" s="3" t="n">
        <v>4.5</v>
      </c>
      <c r="G54" s="3" t="n">
        <v>6.25</v>
      </c>
    </row>
    <row r="55">
      <c r="A55" t="inlineStr">
        <is>
          <t>2014-06</t>
        </is>
      </c>
      <c r="B55" s="3" t="n">
        <v>0.25</v>
      </c>
      <c r="C55" s="3" t="n">
        <v>0</v>
      </c>
      <c r="D55" s="3" t="n">
        <v>0.09</v>
      </c>
      <c r="E55" s="3" t="n">
        <v>6.5</v>
      </c>
      <c r="F55" s="3" t="n">
        <v>4.5</v>
      </c>
      <c r="G55" s="3" t="n">
        <v>6.25</v>
      </c>
    </row>
    <row r="56">
      <c r="A56" t="inlineStr">
        <is>
          <t>2014-07</t>
        </is>
      </c>
      <c r="B56" s="3" t="n">
        <v>0.25</v>
      </c>
      <c r="C56" s="3" t="n">
        <v>0</v>
      </c>
      <c r="D56" s="3" t="n">
        <v>0.08</v>
      </c>
      <c r="E56" s="3" t="n">
        <v>6.5</v>
      </c>
      <c r="F56" s="3" t="n">
        <v>4.5</v>
      </c>
      <c r="G56" s="3" t="n">
        <v>6.25</v>
      </c>
    </row>
    <row r="57">
      <c r="A57" t="inlineStr">
        <is>
          <t>2014-08</t>
        </is>
      </c>
      <c r="B57" s="3" t="n">
        <v>0.25</v>
      </c>
      <c r="C57" s="3" t="n">
        <v>0</v>
      </c>
      <c r="D57" s="3" t="n">
        <v>0.07000000000000001</v>
      </c>
      <c r="E57" s="3" t="n">
        <v>6.5</v>
      </c>
      <c r="F57" s="3" t="n">
        <v>4.5</v>
      </c>
      <c r="G57" s="3" t="n">
        <v>6.25</v>
      </c>
    </row>
    <row r="58">
      <c r="A58" t="inlineStr">
        <is>
          <t>2014-09</t>
        </is>
      </c>
      <c r="B58" s="3" t="n">
        <v>0.25</v>
      </c>
      <c r="C58" s="3" t="n">
        <v>0</v>
      </c>
      <c r="D58" s="3" t="n">
        <v>0.07000000000000001</v>
      </c>
      <c r="E58" s="3" t="n">
        <v>6.5</v>
      </c>
      <c r="F58" s="3" t="n">
        <v>4.5</v>
      </c>
      <c r="G58" s="3" t="n">
        <v>6.25</v>
      </c>
    </row>
    <row r="59">
      <c r="A59" t="inlineStr">
        <is>
          <t>2014-10</t>
        </is>
      </c>
      <c r="B59" s="3" t="n">
        <v>0.25</v>
      </c>
      <c r="C59" s="3" t="n">
        <v>0</v>
      </c>
      <c r="D59" s="3" t="n">
        <v>0.07000000000000001</v>
      </c>
      <c r="E59" s="3" t="n">
        <v>6.5</v>
      </c>
      <c r="F59" s="3" t="n">
        <v>4.5</v>
      </c>
      <c r="G59" s="3" t="n">
        <v>6.25</v>
      </c>
    </row>
    <row r="60">
      <c r="A60" t="inlineStr">
        <is>
          <t>2014-11</t>
        </is>
      </c>
      <c r="B60" s="3" t="n">
        <v>0.25</v>
      </c>
      <c r="C60" s="3" t="n">
        <v>0</v>
      </c>
      <c r="D60" s="3" t="n">
        <v>0.08</v>
      </c>
      <c r="E60" s="3" t="n">
        <v>6.5</v>
      </c>
      <c r="F60" s="3" t="n">
        <v>4.5</v>
      </c>
      <c r="G60" s="3" t="n">
        <v>6.25</v>
      </c>
    </row>
    <row r="61">
      <c r="A61" t="inlineStr">
        <is>
          <t>2014-12</t>
        </is>
      </c>
      <c r="B61" s="3" t="n">
        <v>0.25</v>
      </c>
      <c r="C61" s="3" t="n">
        <v>0</v>
      </c>
      <c r="D61" s="3" t="n">
        <v>0.06</v>
      </c>
      <c r="E61" s="3" t="n">
        <v>6.5</v>
      </c>
      <c r="F61" s="3" t="n">
        <v>4.5</v>
      </c>
      <c r="G61" s="3" t="n">
        <v>6.25</v>
      </c>
    </row>
    <row r="62">
      <c r="A62" t="inlineStr">
        <is>
          <t>2015-01</t>
        </is>
      </c>
      <c r="B62" s="3" t="n">
        <v>0.25</v>
      </c>
      <c r="C62" s="3" t="n">
        <v>0</v>
      </c>
      <c r="D62" s="3" t="n">
        <v>0.06</v>
      </c>
      <c r="E62" s="3" t="n">
        <v>6.5</v>
      </c>
      <c r="F62" s="3" t="n">
        <v>4.5</v>
      </c>
      <c r="G62" s="3" t="n">
        <v>6.25</v>
      </c>
    </row>
    <row r="63">
      <c r="A63" t="inlineStr">
        <is>
          <t>2015-02</t>
        </is>
      </c>
      <c r="B63" s="3" t="n">
        <v>0.25</v>
      </c>
      <c r="C63" s="3" t="n">
        <v>0</v>
      </c>
      <c r="D63" s="3" t="n">
        <v>0.06</v>
      </c>
      <c r="E63" s="3" t="n">
        <v>6.5</v>
      </c>
      <c r="F63" s="3" t="n">
        <v>4.5</v>
      </c>
      <c r="G63" s="3" t="n">
        <v>6.25</v>
      </c>
    </row>
    <row r="64">
      <c r="A64" t="inlineStr">
        <is>
          <t>2015-03</t>
        </is>
      </c>
      <c r="B64" s="3" t="n">
        <v>0.25</v>
      </c>
      <c r="C64" s="3" t="n">
        <v>0</v>
      </c>
      <c r="D64" s="3" t="n">
        <v>0.06</v>
      </c>
      <c r="E64" s="3" t="n">
        <v>6.5</v>
      </c>
      <c r="F64" s="3" t="n">
        <v>4.5</v>
      </c>
      <c r="G64" s="3" t="n">
        <v>6.25</v>
      </c>
    </row>
    <row r="65">
      <c r="A65" t="inlineStr">
        <is>
          <t>2015-04</t>
        </is>
      </c>
      <c r="B65" s="3" t="n">
        <v>0.25</v>
      </c>
      <c r="C65" s="3" t="n">
        <v>0</v>
      </c>
      <c r="D65" s="3" t="n">
        <v>0.08</v>
      </c>
      <c r="E65" s="3" t="n">
        <v>6.5</v>
      </c>
      <c r="F65" s="3" t="n">
        <v>4.5</v>
      </c>
      <c r="G65" s="3" t="n">
        <v>6.25</v>
      </c>
    </row>
    <row r="66">
      <c r="A66" t="inlineStr">
        <is>
          <t>2015-05</t>
        </is>
      </c>
      <c r="B66" s="3" t="n">
        <v>0.25</v>
      </c>
      <c r="C66" s="3" t="n">
        <v>0</v>
      </c>
      <c r="D66" s="3" t="n">
        <v>0.08</v>
      </c>
      <c r="E66" s="3" t="n">
        <v>6.5</v>
      </c>
      <c r="F66" s="3" t="n">
        <v>4.5</v>
      </c>
      <c r="G66" s="3" t="n">
        <v>6.25</v>
      </c>
    </row>
    <row r="67">
      <c r="A67" t="inlineStr">
        <is>
          <t>2015-06</t>
        </is>
      </c>
      <c r="B67" s="3" t="n">
        <v>0.25</v>
      </c>
      <c r="C67" s="3" t="n">
        <v>0</v>
      </c>
      <c r="D67" s="3" t="n">
        <v>0.08</v>
      </c>
      <c r="E67" s="3" t="n">
        <v>6.5</v>
      </c>
      <c r="F67" s="3" t="n">
        <v>4.5</v>
      </c>
      <c r="G67" s="3" t="n">
        <v>6.25</v>
      </c>
    </row>
    <row r="68">
      <c r="A68" t="inlineStr">
        <is>
          <t>2015-07</t>
        </is>
      </c>
      <c r="B68" s="3" t="n">
        <v>0.25</v>
      </c>
      <c r="C68" s="3" t="n">
        <v>0</v>
      </c>
      <c r="D68" s="3" t="n">
        <v>0.08</v>
      </c>
      <c r="E68" s="3" t="n">
        <v>6.5</v>
      </c>
      <c r="F68" s="3" t="n">
        <v>4.5</v>
      </c>
      <c r="G68" s="3" t="n">
        <v>6.25</v>
      </c>
    </row>
    <row r="69">
      <c r="A69" t="inlineStr">
        <is>
          <t>2015-08</t>
        </is>
      </c>
      <c r="B69" s="3" t="n">
        <v>0.25</v>
      </c>
      <c r="C69" s="3" t="n">
        <v>0</v>
      </c>
      <c r="D69" s="3" t="n">
        <v>0.08</v>
      </c>
      <c r="E69" s="3" t="n">
        <v>6.5</v>
      </c>
      <c r="F69" s="3" t="n">
        <v>4.5</v>
      </c>
      <c r="G69" s="3" t="n">
        <v>6.25</v>
      </c>
    </row>
    <row r="70">
      <c r="A70" t="inlineStr">
        <is>
          <t>2015-09</t>
        </is>
      </c>
      <c r="B70" s="3" t="n">
        <v>0.25</v>
      </c>
      <c r="C70" s="3" t="n">
        <v>0</v>
      </c>
      <c r="D70" s="3" t="n">
        <v>0.07000000000000001</v>
      </c>
      <c r="E70" s="3" t="n">
        <v>6.5</v>
      </c>
      <c r="F70" s="3" t="n">
        <v>4.5</v>
      </c>
      <c r="G70" s="3" t="n">
        <v>6.25</v>
      </c>
    </row>
    <row r="71">
      <c r="A71" t="inlineStr">
        <is>
          <t>2015-10</t>
        </is>
      </c>
      <c r="B71" s="3" t="n">
        <v>0.25</v>
      </c>
      <c r="C71" s="3" t="n">
        <v>0</v>
      </c>
      <c r="D71" s="3" t="n">
        <v>0.07000000000000001</v>
      </c>
      <c r="E71" s="3" t="n">
        <v>6.5</v>
      </c>
      <c r="F71" s="3" t="n">
        <v>4.5</v>
      </c>
      <c r="G71" s="3" t="n">
        <v>6.25</v>
      </c>
    </row>
    <row r="72">
      <c r="A72" t="inlineStr">
        <is>
          <t>2015-11</t>
        </is>
      </c>
      <c r="B72" s="3" t="n">
        <v>0.25</v>
      </c>
      <c r="C72" s="3" t="n">
        <v>0</v>
      </c>
      <c r="D72" s="3" t="n">
        <v>0.08</v>
      </c>
      <c r="E72" s="3" t="n">
        <v>6.5</v>
      </c>
      <c r="F72" s="3" t="n">
        <v>4.5</v>
      </c>
      <c r="G72" s="3" t="n">
        <v>6.25</v>
      </c>
    </row>
    <row r="73">
      <c r="A73" t="inlineStr">
        <is>
          <t>2015-12</t>
        </is>
      </c>
      <c r="B73" s="3" t="n">
        <v>0.5</v>
      </c>
      <c r="C73" s="3" t="n">
        <v>0.25</v>
      </c>
      <c r="D73" s="3" t="n">
        <v>0.2</v>
      </c>
      <c r="E73" s="3" t="n">
        <v>6.5</v>
      </c>
      <c r="F73" s="3" t="n">
        <v>4.5</v>
      </c>
      <c r="G73" s="3" t="n">
        <v>6</v>
      </c>
    </row>
    <row r="74">
      <c r="A74" t="inlineStr">
        <is>
          <t>2016-01</t>
        </is>
      </c>
      <c r="B74" s="3" t="n">
        <v>0.5</v>
      </c>
      <c r="C74" s="3" t="n">
        <v>0.25</v>
      </c>
      <c r="D74" s="3" t="n">
        <v>0.29</v>
      </c>
      <c r="E74" s="3" t="n">
        <v>6.5</v>
      </c>
      <c r="F74" s="3" t="n">
        <v>4.5</v>
      </c>
      <c r="G74" s="3" t="n">
        <v>6</v>
      </c>
    </row>
    <row r="75">
      <c r="A75" t="inlineStr">
        <is>
          <t>2016-02</t>
        </is>
      </c>
      <c r="B75" s="3" t="n">
        <v>0.5</v>
      </c>
      <c r="C75" s="3" t="n">
        <v>0.25</v>
      </c>
      <c r="D75" s="3" t="n">
        <v>0.29</v>
      </c>
      <c r="E75" s="3" t="n">
        <v>6.5</v>
      </c>
      <c r="F75" s="3" t="n">
        <v>4.5</v>
      </c>
      <c r="G75" s="3" t="n">
        <v>6</v>
      </c>
    </row>
    <row r="76">
      <c r="A76" t="inlineStr">
        <is>
          <t>2016-03</t>
        </is>
      </c>
      <c r="B76" s="3" t="n">
        <v>0.5</v>
      </c>
      <c r="C76" s="3" t="n">
        <v>0.25</v>
      </c>
      <c r="D76" s="3" t="n">
        <v>0.25</v>
      </c>
      <c r="E76" s="3" t="n">
        <v>6.5</v>
      </c>
      <c r="F76" s="3" t="n">
        <v>4.5</v>
      </c>
      <c r="G76" s="3" t="n">
        <v>6</v>
      </c>
    </row>
    <row r="77">
      <c r="A77" t="inlineStr">
        <is>
          <t>2016-04</t>
        </is>
      </c>
      <c r="B77" s="3" t="n">
        <v>0.5</v>
      </c>
      <c r="C77" s="3" t="n">
        <v>0.25</v>
      </c>
      <c r="D77" s="3" t="n">
        <v>0.3</v>
      </c>
      <c r="E77" s="3" t="n">
        <v>6.5</v>
      </c>
      <c r="F77" s="3" t="n">
        <v>4.5</v>
      </c>
      <c r="G77" s="3" t="n">
        <v>6</v>
      </c>
    </row>
    <row r="78">
      <c r="A78" t="inlineStr">
        <is>
          <t>2016-05</t>
        </is>
      </c>
      <c r="B78" s="3" t="n">
        <v>0.5</v>
      </c>
      <c r="C78" s="3" t="n">
        <v>0.25</v>
      </c>
      <c r="D78" s="3" t="n">
        <v>0.29</v>
      </c>
      <c r="E78" s="3" t="n">
        <v>6.5</v>
      </c>
      <c r="F78" s="3" t="n">
        <v>4.5</v>
      </c>
      <c r="G78" s="3" t="n">
        <v>6</v>
      </c>
    </row>
    <row r="79">
      <c r="A79" t="inlineStr">
        <is>
          <t>2016-06</t>
        </is>
      </c>
      <c r="B79" s="3" t="n">
        <v>0.5</v>
      </c>
      <c r="C79" s="3" t="n">
        <v>0.25</v>
      </c>
      <c r="D79" s="3" t="n">
        <v>0.3</v>
      </c>
      <c r="E79" s="3" t="n">
        <v>6.5</v>
      </c>
      <c r="F79" s="3" t="n">
        <v>4.5</v>
      </c>
      <c r="G79" s="3" t="n">
        <v>6</v>
      </c>
    </row>
    <row r="80">
      <c r="A80" t="inlineStr">
        <is>
          <t>2016-07</t>
        </is>
      </c>
      <c r="B80" s="3" t="n">
        <v>0.5</v>
      </c>
      <c r="C80" s="3" t="n">
        <v>0.25</v>
      </c>
      <c r="D80" s="3" t="n">
        <v>0.3</v>
      </c>
      <c r="E80" s="3" t="n">
        <v>6.5</v>
      </c>
      <c r="F80" s="3" t="n">
        <v>4.5</v>
      </c>
      <c r="G80" s="3" t="n">
        <v>6</v>
      </c>
    </row>
    <row r="81">
      <c r="A81" t="inlineStr">
        <is>
          <t>2016-08</t>
        </is>
      </c>
      <c r="B81" s="3" t="n">
        <v>0.5</v>
      </c>
      <c r="C81" s="3" t="n">
        <v>0.25</v>
      </c>
      <c r="D81" s="3" t="n">
        <v>0.3</v>
      </c>
      <c r="E81" s="3" t="n">
        <v>6.5</v>
      </c>
      <c r="F81" s="3" t="n">
        <v>4.5</v>
      </c>
      <c r="G81" s="3" t="n">
        <v>6</v>
      </c>
    </row>
    <row r="82">
      <c r="A82" t="inlineStr">
        <is>
          <t>2016-09</t>
        </is>
      </c>
      <c r="B82" s="3" t="n">
        <v>0.5</v>
      </c>
      <c r="C82" s="3" t="n">
        <v>0.25</v>
      </c>
      <c r="D82" s="3" t="n">
        <v>0.29</v>
      </c>
      <c r="E82" s="3" t="n">
        <v>6.5</v>
      </c>
      <c r="F82" s="3" t="n">
        <v>4.5</v>
      </c>
      <c r="G82" s="3" t="n">
        <v>6</v>
      </c>
    </row>
    <row r="83">
      <c r="A83" t="inlineStr">
        <is>
          <t>2016-10</t>
        </is>
      </c>
      <c r="B83" s="3" t="n">
        <v>0.5</v>
      </c>
      <c r="C83" s="3" t="n">
        <v>0.25</v>
      </c>
      <c r="D83" s="3" t="n">
        <v>0.31</v>
      </c>
      <c r="E83" s="3" t="n">
        <v>6.5</v>
      </c>
      <c r="F83" s="3" t="n">
        <v>4.5</v>
      </c>
      <c r="G83" s="3" t="n">
        <v>6</v>
      </c>
    </row>
    <row r="84">
      <c r="A84" t="inlineStr">
        <is>
          <t>2016-11</t>
        </is>
      </c>
      <c r="B84" s="3" t="n">
        <v>0.5</v>
      </c>
      <c r="C84" s="3" t="n">
        <v>0.25</v>
      </c>
      <c r="D84" s="3" t="n">
        <v>0.31</v>
      </c>
      <c r="E84" s="3" t="n">
        <v>6.5</v>
      </c>
      <c r="F84" s="3" t="n">
        <v>4.5</v>
      </c>
      <c r="G84" s="3" t="n">
        <v>6</v>
      </c>
    </row>
    <row r="85">
      <c r="A85" t="inlineStr">
        <is>
          <t>2016-12</t>
        </is>
      </c>
      <c r="B85" s="3" t="n">
        <v>0.75</v>
      </c>
      <c r="C85" s="3" t="n">
        <v>0.5</v>
      </c>
      <c r="D85" s="3" t="n">
        <v>0.55</v>
      </c>
      <c r="E85" s="3" t="n">
        <v>6.5</v>
      </c>
      <c r="F85" s="3" t="n">
        <v>4.5</v>
      </c>
      <c r="G85" s="3" t="n">
        <v>5.75</v>
      </c>
    </row>
    <row r="86">
      <c r="A86" t="inlineStr">
        <is>
          <t>2017-01</t>
        </is>
      </c>
      <c r="B86" s="3" t="n">
        <v>0.75</v>
      </c>
      <c r="C86" s="3" t="n">
        <v>0.5</v>
      </c>
      <c r="D86" s="3" t="n">
        <v>0.5600000000000001</v>
      </c>
      <c r="E86" s="3" t="n">
        <v>6.5</v>
      </c>
      <c r="F86" s="3" t="n">
        <v>4.5</v>
      </c>
      <c r="G86" s="3" t="n">
        <v>5.75</v>
      </c>
    </row>
    <row r="87">
      <c r="A87" t="inlineStr">
        <is>
          <t>2017-02</t>
        </is>
      </c>
      <c r="B87" s="3" t="n">
        <v>0.75</v>
      </c>
      <c r="C87" s="3" t="n">
        <v>0.5</v>
      </c>
      <c r="D87" s="3" t="n">
        <v>0.57</v>
      </c>
      <c r="E87" s="3" t="n">
        <v>6.5</v>
      </c>
      <c r="F87" s="3" t="n">
        <v>4.5</v>
      </c>
      <c r="G87" s="3" t="n">
        <v>5.75</v>
      </c>
    </row>
    <row r="88">
      <c r="A88" t="inlineStr">
        <is>
          <t>2017-03</t>
        </is>
      </c>
      <c r="B88" s="3" t="n">
        <v>1</v>
      </c>
      <c r="C88" s="3" t="n">
        <v>0.75</v>
      </c>
      <c r="D88" s="3" t="n">
        <v>0.82</v>
      </c>
      <c r="E88" s="3" t="n">
        <v>6.5</v>
      </c>
      <c r="F88" s="3" t="n">
        <v>4.5</v>
      </c>
      <c r="G88" s="3" t="n">
        <v>5.5</v>
      </c>
    </row>
    <row r="89">
      <c r="A89" t="inlineStr">
        <is>
          <t>2017-04</t>
        </is>
      </c>
      <c r="B89" s="3" t="n">
        <v>1</v>
      </c>
      <c r="C89" s="3" t="n">
        <v>0.75</v>
      </c>
      <c r="D89" s="3" t="n">
        <v>0.83</v>
      </c>
      <c r="E89" s="3" t="n">
        <v>6.5</v>
      </c>
      <c r="F89" s="3" t="n">
        <v>4.5</v>
      </c>
      <c r="G89" s="3" t="n">
        <v>5.5</v>
      </c>
    </row>
    <row r="90">
      <c r="A90" t="inlineStr">
        <is>
          <t>2017-05</t>
        </is>
      </c>
      <c r="B90" s="3" t="n">
        <v>1</v>
      </c>
      <c r="C90" s="3" t="n">
        <v>0.75</v>
      </c>
      <c r="D90" s="3" t="n">
        <v>0.83</v>
      </c>
      <c r="E90" s="3" t="n">
        <v>6.5</v>
      </c>
      <c r="F90" s="3" t="n">
        <v>4.5</v>
      </c>
      <c r="G90" s="3" t="n">
        <v>5.5</v>
      </c>
    </row>
    <row r="91">
      <c r="A91" t="inlineStr">
        <is>
          <t>2017-06</t>
        </is>
      </c>
      <c r="B91" s="3" t="n">
        <v>1.25</v>
      </c>
      <c r="C91" s="3" t="n">
        <v>1</v>
      </c>
      <c r="D91" s="3" t="n">
        <v>1.06</v>
      </c>
      <c r="E91" s="3" t="n">
        <v>6.5</v>
      </c>
      <c r="F91" s="3" t="n">
        <v>4.5</v>
      </c>
      <c r="G91" s="3" t="n">
        <v>5.25</v>
      </c>
    </row>
    <row r="92">
      <c r="A92" t="inlineStr">
        <is>
          <t>2017-07</t>
        </is>
      </c>
      <c r="B92" s="3" t="n">
        <v>1.25</v>
      </c>
      <c r="C92" s="3" t="n">
        <v>1</v>
      </c>
      <c r="D92" s="3" t="n">
        <v>1.07</v>
      </c>
      <c r="E92" s="3" t="n">
        <v>6.25</v>
      </c>
      <c r="F92" s="3" t="n">
        <v>4.25</v>
      </c>
      <c r="G92" s="3" t="n">
        <v>5</v>
      </c>
    </row>
    <row r="93">
      <c r="A93" t="inlineStr">
        <is>
          <t>2017-08</t>
        </is>
      </c>
      <c r="B93" s="3" t="n">
        <v>1.25</v>
      </c>
      <c r="C93" s="3" t="n">
        <v>1</v>
      </c>
      <c r="D93" s="3" t="n">
        <v>1.07</v>
      </c>
      <c r="E93" s="3" t="n">
        <v>6.25</v>
      </c>
      <c r="F93" s="3" t="n">
        <v>4.25</v>
      </c>
      <c r="G93" s="3" t="n">
        <v>5</v>
      </c>
    </row>
    <row r="94">
      <c r="A94" t="inlineStr">
        <is>
          <t>2017-09</t>
        </is>
      </c>
      <c r="B94" s="3" t="n">
        <v>1.25</v>
      </c>
      <c r="C94" s="3" t="n">
        <v>1</v>
      </c>
      <c r="D94" s="3" t="n">
        <v>1.06</v>
      </c>
      <c r="E94" s="3" t="n">
        <v>6.25</v>
      </c>
      <c r="F94" s="3" t="n">
        <v>4.25</v>
      </c>
      <c r="G94" s="3" t="n">
        <v>5</v>
      </c>
    </row>
    <row r="95">
      <c r="A95" t="inlineStr">
        <is>
          <t>2017-10</t>
        </is>
      </c>
      <c r="B95" s="3" t="n">
        <v>1.25</v>
      </c>
      <c r="C95" s="3" t="n">
        <v>1</v>
      </c>
      <c r="D95" s="3" t="n">
        <v>1.07</v>
      </c>
      <c r="E95" s="3" t="n">
        <v>6.25</v>
      </c>
      <c r="F95" s="3" t="n">
        <v>4.25</v>
      </c>
      <c r="G95" s="3" t="n">
        <v>5</v>
      </c>
    </row>
    <row r="96">
      <c r="A96" t="inlineStr">
        <is>
          <t>2017-11</t>
        </is>
      </c>
      <c r="B96" s="3" t="n">
        <v>1.25</v>
      </c>
      <c r="C96" s="3" t="n">
        <v>1</v>
      </c>
      <c r="D96" s="3" t="n">
        <v>1.07</v>
      </c>
      <c r="E96" s="3" t="n">
        <v>6.25</v>
      </c>
      <c r="F96" s="3" t="n">
        <v>4.25</v>
      </c>
      <c r="G96" s="3" t="n">
        <v>5</v>
      </c>
    </row>
    <row r="97">
      <c r="A97" t="inlineStr">
        <is>
          <t>2017-12</t>
        </is>
      </c>
      <c r="B97" s="3" t="n">
        <v>1.5</v>
      </c>
      <c r="C97" s="3" t="n">
        <v>1.25</v>
      </c>
      <c r="D97" s="3" t="n">
        <v>1.33</v>
      </c>
      <c r="E97" s="3" t="n">
        <v>6.25</v>
      </c>
      <c r="F97" s="3" t="n">
        <v>4.25</v>
      </c>
      <c r="G97" s="3" t="n">
        <v>4.75</v>
      </c>
    </row>
    <row r="98">
      <c r="A98" t="inlineStr">
        <is>
          <t>2018-01</t>
        </is>
      </c>
      <c r="B98" s="3" t="n">
        <v>1.5</v>
      </c>
      <c r="C98" s="3" t="n">
        <v>1.25</v>
      </c>
      <c r="D98" s="3" t="n">
        <v>1.34</v>
      </c>
      <c r="E98" s="3" t="n">
        <v>6.25</v>
      </c>
      <c r="F98" s="3" t="n">
        <v>4.25</v>
      </c>
      <c r="G98" s="3" t="n">
        <v>4.75</v>
      </c>
    </row>
    <row r="99">
      <c r="A99" t="inlineStr">
        <is>
          <t>2018-02</t>
        </is>
      </c>
      <c r="B99" s="3" t="n">
        <v>1.5</v>
      </c>
      <c r="C99" s="3" t="n">
        <v>1.25</v>
      </c>
      <c r="D99" s="3" t="n">
        <v>1.35</v>
      </c>
      <c r="E99" s="3" t="n">
        <v>6.25</v>
      </c>
      <c r="F99" s="3" t="n">
        <v>4.25</v>
      </c>
      <c r="G99" s="3" t="n">
        <v>4.75</v>
      </c>
    </row>
    <row r="100">
      <c r="A100" t="inlineStr">
        <is>
          <t>2018-03</t>
        </is>
      </c>
      <c r="B100" s="3" t="n">
        <v>1.75</v>
      </c>
      <c r="C100" s="3" t="n">
        <v>1.5</v>
      </c>
      <c r="D100" s="3" t="n">
        <v>1.67</v>
      </c>
      <c r="E100" s="3" t="n">
        <v>6.25</v>
      </c>
      <c r="F100" s="3" t="n">
        <v>4.25</v>
      </c>
      <c r="G100" s="3" t="n">
        <v>4.5</v>
      </c>
    </row>
    <row r="101">
      <c r="A101" t="inlineStr">
        <is>
          <t>2018-04</t>
        </is>
      </c>
      <c r="B101" s="3" t="n">
        <v>1.75</v>
      </c>
      <c r="C101" s="3" t="n">
        <v>1.5</v>
      </c>
      <c r="D101" s="3" t="n">
        <v>1.69</v>
      </c>
      <c r="E101" s="3" t="n">
        <v>6.25</v>
      </c>
      <c r="F101" s="3" t="n">
        <v>4.25</v>
      </c>
      <c r="G101" s="3" t="n">
        <v>4.5</v>
      </c>
    </row>
    <row r="102">
      <c r="A102" t="inlineStr">
        <is>
          <t>2018-05</t>
        </is>
      </c>
      <c r="B102" s="3" t="n">
        <v>1.75</v>
      </c>
      <c r="C102" s="3" t="n">
        <v>1.5</v>
      </c>
      <c r="D102" s="3" t="n">
        <v>1.7</v>
      </c>
      <c r="E102" s="3" t="n">
        <v>6.25</v>
      </c>
      <c r="F102" s="3" t="n">
        <v>4.25</v>
      </c>
      <c r="G102" s="3" t="n">
        <v>4.5</v>
      </c>
    </row>
    <row r="103">
      <c r="A103" t="inlineStr">
        <is>
          <t>2018-06</t>
        </is>
      </c>
      <c r="B103" s="3" t="n">
        <v>2</v>
      </c>
      <c r="C103" s="3" t="n">
        <v>1.75</v>
      </c>
      <c r="D103" s="3" t="n">
        <v>1.91</v>
      </c>
      <c r="E103" s="3" t="n">
        <v>6.25</v>
      </c>
      <c r="F103" s="3" t="n">
        <v>4.25</v>
      </c>
      <c r="G103" s="3" t="n">
        <v>4.25</v>
      </c>
    </row>
    <row r="104">
      <c r="A104" t="inlineStr">
        <is>
          <t>2018-07</t>
        </is>
      </c>
      <c r="B104" s="3" t="n">
        <v>2</v>
      </c>
      <c r="C104" s="3" t="n">
        <v>1.75</v>
      </c>
      <c r="D104" s="3" t="n">
        <v>1.91</v>
      </c>
      <c r="E104" s="3" t="n">
        <v>6.25</v>
      </c>
      <c r="F104" s="3" t="n">
        <v>4.25</v>
      </c>
      <c r="G104" s="3" t="n">
        <v>4.25</v>
      </c>
    </row>
    <row r="105">
      <c r="A105" t="inlineStr">
        <is>
          <t>2018-08</t>
        </is>
      </c>
      <c r="B105" s="3" t="n">
        <v>2</v>
      </c>
      <c r="C105" s="3" t="n">
        <v>1.75</v>
      </c>
      <c r="D105" s="3" t="n">
        <v>1.91</v>
      </c>
      <c r="E105" s="3" t="n">
        <v>6.25</v>
      </c>
      <c r="F105" s="3" t="n">
        <v>4.25</v>
      </c>
      <c r="G105" s="3" t="n">
        <v>4.25</v>
      </c>
    </row>
    <row r="106">
      <c r="A106" t="inlineStr">
        <is>
          <t>2018-09</t>
        </is>
      </c>
      <c r="B106" s="3" t="n">
        <v>2.25</v>
      </c>
      <c r="C106" s="3" t="n">
        <v>2</v>
      </c>
      <c r="D106" s="3" t="n">
        <v>2.18</v>
      </c>
      <c r="E106" s="3" t="n">
        <v>6.25</v>
      </c>
      <c r="F106" s="3" t="n">
        <v>4.25</v>
      </c>
      <c r="G106" s="3" t="n">
        <v>4</v>
      </c>
    </row>
    <row r="107">
      <c r="A107" t="inlineStr">
        <is>
          <t>2018-10</t>
        </is>
      </c>
      <c r="B107" s="3" t="n">
        <v>2.25</v>
      </c>
      <c r="C107" s="3" t="n">
        <v>2</v>
      </c>
      <c r="D107" s="3" t="n">
        <v>2.2</v>
      </c>
      <c r="E107" s="3" t="n">
        <v>6.25</v>
      </c>
      <c r="F107" s="3" t="n">
        <v>4.25</v>
      </c>
      <c r="G107" s="3" t="n">
        <v>4</v>
      </c>
    </row>
    <row r="108">
      <c r="A108" t="inlineStr">
        <is>
          <t>2018-11</t>
        </is>
      </c>
      <c r="B108" s="3" t="n">
        <v>2.25</v>
      </c>
      <c r="C108" s="3" t="n">
        <v>2</v>
      </c>
      <c r="D108" s="3" t="n">
        <v>2.2</v>
      </c>
      <c r="E108" s="3" t="n">
        <v>6.25</v>
      </c>
      <c r="F108" s="3" t="n">
        <v>4.25</v>
      </c>
      <c r="G108" s="3" t="n">
        <v>4</v>
      </c>
    </row>
    <row r="109">
      <c r="A109" t="inlineStr">
        <is>
          <t>2018-12</t>
        </is>
      </c>
      <c r="B109" s="3" t="n">
        <v>2.5</v>
      </c>
      <c r="C109" s="3" t="n">
        <v>2.25</v>
      </c>
      <c r="D109" s="3" t="n">
        <v>2.4</v>
      </c>
      <c r="E109" s="3" t="n">
        <v>6.25</v>
      </c>
      <c r="F109" s="3" t="n">
        <v>4.25</v>
      </c>
      <c r="G109" s="3" t="n">
        <v>3.75</v>
      </c>
    </row>
    <row r="110">
      <c r="A110" t="inlineStr">
        <is>
          <t>2019-01</t>
        </is>
      </c>
      <c r="B110" s="3" t="n">
        <v>2.5</v>
      </c>
      <c r="C110" s="3" t="n">
        <v>2.25</v>
      </c>
      <c r="D110" s="3" t="n">
        <v>2.4</v>
      </c>
      <c r="E110" s="3" t="n">
        <v>6.25</v>
      </c>
      <c r="F110" s="3" t="n">
        <v>4.25</v>
      </c>
      <c r="G110" s="3" t="n">
        <v>3.75</v>
      </c>
    </row>
    <row r="111">
      <c r="A111" t="inlineStr">
        <is>
          <t>2019-02</t>
        </is>
      </c>
      <c r="B111" s="3" t="n">
        <v>2.5</v>
      </c>
      <c r="C111" s="3" t="n">
        <v>2.25</v>
      </c>
      <c r="D111" s="3" t="n">
        <v>2.4</v>
      </c>
      <c r="E111" s="3" t="n">
        <v>6.25</v>
      </c>
      <c r="F111" s="3" t="n">
        <v>4.25</v>
      </c>
      <c r="G111" s="3" t="n">
        <v>3.75</v>
      </c>
    </row>
    <row r="112">
      <c r="A112" t="inlineStr">
        <is>
          <t>2019-03</t>
        </is>
      </c>
      <c r="B112" s="3" t="n">
        <v>2.5</v>
      </c>
      <c r="C112" s="3" t="n">
        <v>2.25</v>
      </c>
      <c r="D112" s="3" t="n">
        <v>2.43</v>
      </c>
      <c r="E112" s="3" t="n">
        <v>6.25</v>
      </c>
      <c r="F112" s="3" t="n">
        <v>4.25</v>
      </c>
      <c r="G112" s="3" t="n">
        <v>3.75</v>
      </c>
    </row>
    <row r="113">
      <c r="A113" t="inlineStr">
        <is>
          <t>2019-04</t>
        </is>
      </c>
      <c r="B113" s="3" t="n">
        <v>2.5</v>
      </c>
      <c r="C113" s="3" t="n">
        <v>2.25</v>
      </c>
      <c r="D113" s="3" t="n">
        <v>2.45</v>
      </c>
      <c r="E113" s="3" t="n">
        <v>6.25</v>
      </c>
      <c r="F113" s="3" t="n">
        <v>4.25</v>
      </c>
      <c r="G113" s="3" t="n">
        <v>3.75</v>
      </c>
    </row>
    <row r="114">
      <c r="A114" t="inlineStr">
        <is>
          <t>2019-05</t>
        </is>
      </c>
      <c r="B114" s="3" t="n">
        <v>2.5</v>
      </c>
      <c r="C114" s="3" t="n">
        <v>2.25</v>
      </c>
      <c r="D114" s="3" t="n">
        <v>2.4</v>
      </c>
      <c r="E114" s="3" t="n">
        <v>6.25</v>
      </c>
      <c r="F114" s="3" t="n">
        <v>4.25</v>
      </c>
      <c r="G114" s="3" t="n">
        <v>3.75</v>
      </c>
    </row>
    <row r="115">
      <c r="A115" t="inlineStr">
        <is>
          <t>2019-06</t>
        </is>
      </c>
      <c r="B115" s="3" t="n">
        <v>2.5</v>
      </c>
      <c r="C115" s="3" t="n">
        <v>2.25</v>
      </c>
      <c r="D115" s="3" t="n">
        <v>2.4</v>
      </c>
      <c r="E115" s="3" t="n">
        <v>6.25</v>
      </c>
      <c r="F115" s="3" t="n">
        <v>4.25</v>
      </c>
      <c r="G115" s="3" t="n">
        <v>3.75</v>
      </c>
    </row>
    <row r="116">
      <c r="A116" t="inlineStr">
        <is>
          <t>2019-07</t>
        </is>
      </c>
      <c r="B116" s="3" t="n">
        <v>2.5</v>
      </c>
      <c r="C116" s="3" t="n">
        <v>2.25</v>
      </c>
      <c r="D116" s="3" t="n">
        <v>2.4</v>
      </c>
      <c r="E116" s="3" t="n">
        <v>6.25</v>
      </c>
      <c r="F116" s="3" t="n">
        <v>4.25</v>
      </c>
      <c r="G116" s="3" t="n">
        <v>3.75</v>
      </c>
    </row>
    <row r="117">
      <c r="A117" t="inlineStr">
        <is>
          <t>2019-08</t>
        </is>
      </c>
      <c r="B117" s="3" t="n">
        <v>2.25</v>
      </c>
      <c r="C117" s="3" t="n">
        <v>2</v>
      </c>
      <c r="D117" s="3" t="n">
        <v>2.13</v>
      </c>
      <c r="E117" s="3" t="n">
        <v>6.25</v>
      </c>
      <c r="F117" s="3" t="n">
        <v>4.25</v>
      </c>
      <c r="G117" s="3" t="n">
        <v>4</v>
      </c>
    </row>
    <row r="118">
      <c r="A118" t="inlineStr">
        <is>
          <t>2019-09</t>
        </is>
      </c>
      <c r="B118" s="3" t="n">
        <v>2</v>
      </c>
      <c r="C118" s="3" t="n">
        <v>1.75</v>
      </c>
      <c r="D118" s="3" t="n">
        <v>1.9</v>
      </c>
      <c r="E118" s="3" t="n">
        <v>6</v>
      </c>
      <c r="F118" s="3" t="n">
        <v>4</v>
      </c>
      <c r="G118" s="3" t="n">
        <v>4</v>
      </c>
    </row>
    <row r="119">
      <c r="A119" t="inlineStr">
        <is>
          <t>2019-10</t>
        </is>
      </c>
      <c r="B119" s="3" t="n">
        <v>1.75</v>
      </c>
      <c r="C119" s="3" t="n">
        <v>1.5</v>
      </c>
      <c r="D119" s="3" t="n">
        <v>1.58</v>
      </c>
      <c r="E119" s="3" t="n">
        <v>6</v>
      </c>
      <c r="F119" s="3" t="n">
        <v>4</v>
      </c>
      <c r="G119" s="3" t="n">
        <v>4.25</v>
      </c>
    </row>
    <row r="120">
      <c r="A120" t="inlineStr">
        <is>
          <t>2019-11</t>
        </is>
      </c>
      <c r="B120" s="3" t="n">
        <v>1.75</v>
      </c>
      <c r="C120" s="3" t="n">
        <v>1.5</v>
      </c>
      <c r="D120" s="3" t="n">
        <v>1.56</v>
      </c>
      <c r="E120" s="3" t="n">
        <v>6</v>
      </c>
      <c r="F120" s="3" t="n">
        <v>4</v>
      </c>
      <c r="G120" s="3" t="n">
        <v>4.25</v>
      </c>
    </row>
    <row r="121">
      <c r="A121" t="inlineStr">
        <is>
          <t>2019-12</t>
        </is>
      </c>
      <c r="B121" s="3" t="n">
        <v>1.75</v>
      </c>
      <c r="C121" s="3" t="n">
        <v>1.5</v>
      </c>
      <c r="D121" s="3" t="n">
        <v>1.55</v>
      </c>
      <c r="E121" s="3" t="n">
        <v>6</v>
      </c>
      <c r="F121" s="3" t="n">
        <v>4</v>
      </c>
      <c r="G121" s="3" t="n">
        <v>4.25</v>
      </c>
    </row>
    <row r="122">
      <c r="A122" t="inlineStr">
        <is>
          <t>2020-01</t>
        </is>
      </c>
      <c r="B122" s="3" t="n">
        <v>1.75</v>
      </c>
      <c r="C122" s="3" t="n">
        <v>1.5</v>
      </c>
      <c r="D122" s="3" t="n">
        <v>1.59</v>
      </c>
      <c r="E122" s="3" t="n">
        <v>6</v>
      </c>
      <c r="F122" s="3" t="n">
        <v>4</v>
      </c>
      <c r="G122" s="3" t="n">
        <v>4.25</v>
      </c>
    </row>
    <row r="123">
      <c r="A123" t="inlineStr">
        <is>
          <t>2020-02</t>
        </is>
      </c>
      <c r="B123" s="3" t="n">
        <v>1.75</v>
      </c>
      <c r="C123" s="3" t="n">
        <v>1.5</v>
      </c>
      <c r="D123" s="3" t="n">
        <v>1.58</v>
      </c>
      <c r="E123" s="3" t="n">
        <v>6</v>
      </c>
      <c r="F123" s="3" t="n">
        <v>4</v>
      </c>
      <c r="G123" s="3" t="n">
        <v>4.25</v>
      </c>
    </row>
    <row r="124">
      <c r="A124" t="inlineStr">
        <is>
          <t>2020-03</t>
        </is>
      </c>
      <c r="B124" s="3" t="n">
        <v>0.25</v>
      </c>
      <c r="C124" s="3" t="n">
        <v>0</v>
      </c>
      <c r="D124" s="3" t="n">
        <v>0.08</v>
      </c>
      <c r="E124" s="3" t="n">
        <v>5</v>
      </c>
      <c r="F124" s="3" t="n">
        <v>3.5</v>
      </c>
      <c r="G124" s="3" t="n">
        <v>4.75</v>
      </c>
    </row>
    <row r="125">
      <c r="A125" t="inlineStr">
        <is>
          <t>2020-04</t>
        </is>
      </c>
      <c r="B125" s="3" t="n">
        <v>0.25</v>
      </c>
      <c r="C125" s="3" t="n">
        <v>0</v>
      </c>
      <c r="D125" s="3" t="n">
        <v>0.05</v>
      </c>
      <c r="E125" s="3" t="n">
        <v>5</v>
      </c>
      <c r="F125" s="3" t="n">
        <v>3.5</v>
      </c>
      <c r="G125" s="3" t="n">
        <v>4.75</v>
      </c>
    </row>
    <row r="126">
      <c r="A126" t="inlineStr">
        <is>
          <t>2020-05</t>
        </is>
      </c>
      <c r="B126" s="3" t="n">
        <v>0.25</v>
      </c>
      <c r="C126" s="3" t="n">
        <v>0</v>
      </c>
      <c r="D126" s="3" t="n">
        <v>0.05</v>
      </c>
      <c r="E126" s="3" t="n">
        <v>4.5</v>
      </c>
      <c r="F126" s="3" t="n">
        <v>3</v>
      </c>
      <c r="G126" s="3" t="n">
        <v>4.25</v>
      </c>
    </row>
    <row r="127">
      <c r="A127" t="inlineStr">
        <is>
          <t>2020-06</t>
        </is>
      </c>
      <c r="B127" s="3" t="n">
        <v>0.25</v>
      </c>
      <c r="C127" s="3" t="n">
        <v>0</v>
      </c>
      <c r="D127" s="3" t="n">
        <v>0.08</v>
      </c>
      <c r="E127" s="3" t="n">
        <v>4.5</v>
      </c>
      <c r="F127" s="3" t="n">
        <v>3</v>
      </c>
      <c r="G127" s="3" t="n">
        <v>4.25</v>
      </c>
    </row>
    <row r="128">
      <c r="A128" t="inlineStr">
        <is>
          <t>2020-07</t>
        </is>
      </c>
      <c r="B128" s="3" t="n">
        <v>0.25</v>
      </c>
      <c r="C128" s="3" t="n">
        <v>0</v>
      </c>
      <c r="D128" s="3" t="n">
        <v>0.1</v>
      </c>
      <c r="E128" s="3" t="n">
        <v>4.5</v>
      </c>
      <c r="F128" s="3" t="n">
        <v>3</v>
      </c>
      <c r="G128" s="3" t="n">
        <v>4.25</v>
      </c>
    </row>
    <row r="129">
      <c r="A129" t="inlineStr">
        <is>
          <t>2020-08</t>
        </is>
      </c>
      <c r="B129" s="3" t="n">
        <v>0.25</v>
      </c>
      <c r="C129" s="3" t="n">
        <v>0</v>
      </c>
      <c r="D129" s="3" t="n">
        <v>0.09</v>
      </c>
      <c r="E129" s="3" t="n">
        <v>4.5</v>
      </c>
      <c r="F129" s="3" t="n">
        <v>3</v>
      </c>
      <c r="G129" s="3" t="n">
        <v>4.25</v>
      </c>
    </row>
    <row r="130">
      <c r="A130" t="inlineStr">
        <is>
          <t>2020-09</t>
        </is>
      </c>
      <c r="B130" s="3" t="n">
        <v>0.25</v>
      </c>
      <c r="C130" s="3" t="n">
        <v>0</v>
      </c>
      <c r="D130" s="3" t="n">
        <v>0.09</v>
      </c>
      <c r="E130" s="3" t="n">
        <v>4.5</v>
      </c>
      <c r="F130" s="3" t="n">
        <v>3</v>
      </c>
      <c r="G130" s="3" t="n">
        <v>4.25</v>
      </c>
    </row>
    <row r="131">
      <c r="A131" t="inlineStr">
        <is>
          <t>2020-10</t>
        </is>
      </c>
      <c r="B131" s="3" t="n">
        <v>0.25</v>
      </c>
      <c r="C131" s="3" t="n">
        <v>0</v>
      </c>
      <c r="D131" s="3" t="n">
        <v>0.09</v>
      </c>
      <c r="E131" s="3" t="n">
        <v>4</v>
      </c>
      <c r="F131" s="3" t="n">
        <v>2.5</v>
      </c>
      <c r="G131" s="3" t="n">
        <v>3.75</v>
      </c>
    </row>
    <row r="132">
      <c r="A132" t="inlineStr">
        <is>
          <t>2020-11</t>
        </is>
      </c>
      <c r="B132" s="3" t="n">
        <v>0.25</v>
      </c>
      <c r="C132" s="3" t="n">
        <v>0</v>
      </c>
      <c r="D132" s="3" t="n">
        <v>0.09</v>
      </c>
      <c r="E132" s="3" t="n">
        <v>4</v>
      </c>
      <c r="F132" s="3" t="n">
        <v>2.5</v>
      </c>
      <c r="G132" s="3" t="n">
        <v>3.75</v>
      </c>
    </row>
    <row r="133">
      <c r="A133" t="inlineStr">
        <is>
          <t>2020-12</t>
        </is>
      </c>
      <c r="B133" s="3" t="n">
        <v>0.25</v>
      </c>
      <c r="C133" s="3" t="n">
        <v>0</v>
      </c>
      <c r="D133" s="3" t="n">
        <v>0.09</v>
      </c>
      <c r="E133" s="3" t="n">
        <v>4</v>
      </c>
      <c r="F133" s="3" t="n">
        <v>2.5</v>
      </c>
      <c r="G133" s="3" t="n">
        <v>3.75</v>
      </c>
    </row>
    <row r="134">
      <c r="A134" t="inlineStr">
        <is>
          <t>2021-01</t>
        </is>
      </c>
      <c r="B134" s="3" t="n">
        <v>0.25</v>
      </c>
      <c r="C134" s="3" t="n">
        <v>0</v>
      </c>
      <c r="D134" s="3" t="n">
        <v>0.07000000000000001</v>
      </c>
      <c r="E134" s="3" t="n">
        <v>4</v>
      </c>
      <c r="F134" s="3" t="n">
        <v>2.5</v>
      </c>
      <c r="G134" s="3" t="n">
        <v>3.75</v>
      </c>
    </row>
    <row r="135">
      <c r="A135" t="inlineStr">
        <is>
          <t>2021-02</t>
        </is>
      </c>
      <c r="B135" s="3" t="n">
        <v>0.25</v>
      </c>
      <c r="C135" s="3" t="n">
        <v>0</v>
      </c>
      <c r="D135" s="3" t="n">
        <v>0.07000000000000001</v>
      </c>
      <c r="E135" s="3" t="n">
        <v>4</v>
      </c>
      <c r="F135" s="3" t="n">
        <v>2.5</v>
      </c>
      <c r="G135" s="3" t="n">
        <v>3.75</v>
      </c>
    </row>
    <row r="136">
      <c r="A136" t="inlineStr">
        <is>
          <t>2021-03</t>
        </is>
      </c>
      <c r="B136" s="3" t="n">
        <v>0.25</v>
      </c>
      <c r="C136" s="3" t="n">
        <v>0</v>
      </c>
      <c r="D136" s="3" t="n">
        <v>0.06</v>
      </c>
      <c r="E136" s="3" t="n">
        <v>4</v>
      </c>
      <c r="F136" s="3" t="n">
        <v>2.5</v>
      </c>
      <c r="G136" s="3" t="n">
        <v>3.75</v>
      </c>
    </row>
    <row r="137">
      <c r="A137" t="inlineStr">
        <is>
          <t>2021-04</t>
        </is>
      </c>
      <c r="B137" s="3" t="n">
        <v>0.25</v>
      </c>
      <c r="C137" s="3" t="n">
        <v>0</v>
      </c>
      <c r="D137" s="3" t="n">
        <v>0.05</v>
      </c>
      <c r="E137" s="3" t="n">
        <v>4</v>
      </c>
      <c r="F137" s="3" t="n">
        <v>2.5</v>
      </c>
      <c r="G137" s="3" t="n">
        <v>3.75</v>
      </c>
    </row>
    <row r="138">
      <c r="A138" t="inlineStr">
        <is>
          <t>2021-05</t>
        </is>
      </c>
      <c r="B138" s="3" t="n">
        <v>0.25</v>
      </c>
      <c r="C138" s="3" t="n">
        <v>0</v>
      </c>
      <c r="D138" s="3" t="n">
        <v>0.05</v>
      </c>
      <c r="E138" s="3" t="n">
        <v>4</v>
      </c>
      <c r="F138" s="3" t="n">
        <v>2.5</v>
      </c>
      <c r="G138" s="3" t="n">
        <v>3.75</v>
      </c>
    </row>
    <row r="139">
      <c r="A139" t="inlineStr">
        <is>
          <t>2021-06</t>
        </is>
      </c>
      <c r="B139" s="3" t="n">
        <v>0.25</v>
      </c>
      <c r="C139" s="3" t="n">
        <v>0</v>
      </c>
      <c r="D139" s="3" t="n">
        <v>0.08</v>
      </c>
      <c r="E139" s="3" t="n">
        <v>4</v>
      </c>
      <c r="F139" s="3" t="n">
        <v>2.5</v>
      </c>
      <c r="G139" s="3" t="n">
        <v>3.75</v>
      </c>
    </row>
    <row r="140">
      <c r="A140" t="inlineStr">
        <is>
          <t>2021-07</t>
        </is>
      </c>
      <c r="B140" s="3" t="n">
        <v>0.25</v>
      </c>
      <c r="C140" s="3" t="n">
        <v>0</v>
      </c>
      <c r="D140" s="3" t="n">
        <v>0.07000000000000001</v>
      </c>
      <c r="E140" s="3" t="n">
        <v>4</v>
      </c>
      <c r="F140" s="3" t="n">
        <v>2.5</v>
      </c>
      <c r="G140" s="3" t="n">
        <v>3.75</v>
      </c>
    </row>
    <row r="141">
      <c r="A141" t="inlineStr">
        <is>
          <t>2021-08</t>
        </is>
      </c>
      <c r="B141" s="3" t="n">
        <v>0.25</v>
      </c>
      <c r="C141" s="3" t="n">
        <v>0</v>
      </c>
      <c r="D141" s="3" t="n">
        <v>0.06</v>
      </c>
      <c r="E141" s="3" t="n">
        <v>4</v>
      </c>
      <c r="F141" s="3" t="n">
        <v>2.5</v>
      </c>
      <c r="G141" s="3" t="n">
        <v>3.75</v>
      </c>
    </row>
    <row r="142">
      <c r="A142" t="inlineStr">
        <is>
          <t>2021-09</t>
        </is>
      </c>
      <c r="B142" s="3" t="n">
        <v>0.25</v>
      </c>
      <c r="C142" s="3" t="n">
        <v>0</v>
      </c>
      <c r="D142" s="3" t="n">
        <v>0.06</v>
      </c>
      <c r="E142" s="3" t="n">
        <v>4</v>
      </c>
      <c r="F142" s="3" t="n">
        <v>2.5</v>
      </c>
      <c r="G142" s="3" t="n">
        <v>3.75</v>
      </c>
    </row>
    <row r="143">
      <c r="A143" t="inlineStr">
        <is>
          <t>2021-10</t>
        </is>
      </c>
      <c r="B143" s="3" t="n">
        <v>0.25</v>
      </c>
      <c r="C143" s="3" t="n">
        <v>0</v>
      </c>
      <c r="D143" s="3" t="n">
        <v>0.07000000000000001</v>
      </c>
      <c r="E143" s="3" t="n">
        <v>4</v>
      </c>
      <c r="F143" s="3" t="n">
        <v>2.5</v>
      </c>
      <c r="G143" s="3" t="n">
        <v>3.75</v>
      </c>
    </row>
    <row r="144">
      <c r="A144" t="inlineStr">
        <is>
          <t>2021-11</t>
        </is>
      </c>
      <c r="B144" s="3" t="n">
        <v>0.25</v>
      </c>
      <c r="C144" s="3" t="n">
        <v>0</v>
      </c>
      <c r="D144" s="3" t="n">
        <v>0.07000000000000001</v>
      </c>
      <c r="E144" s="3" t="n">
        <v>4</v>
      </c>
      <c r="F144" s="3" t="n">
        <v>2.5</v>
      </c>
      <c r="G144" s="3" t="n">
        <v>3.75</v>
      </c>
    </row>
    <row r="145">
      <c r="A145" t="inlineStr">
        <is>
          <t>2021-12</t>
        </is>
      </c>
      <c r="B145" s="3" t="n">
        <v>0.25</v>
      </c>
      <c r="C145" s="3" t="n">
        <v>0</v>
      </c>
      <c r="D145" s="3" t="n">
        <v>0.07000000000000001</v>
      </c>
      <c r="E145" s="3" t="n">
        <v>4</v>
      </c>
      <c r="F145" s="3" t="n">
        <v>2.5</v>
      </c>
      <c r="G145" s="3" t="n">
        <v>3.75</v>
      </c>
    </row>
    <row r="146">
      <c r="A146" t="inlineStr">
        <is>
          <t>2022-01</t>
        </is>
      </c>
      <c r="B146" s="3" t="n">
        <v>0.25</v>
      </c>
      <c r="C146" s="3" t="n">
        <v>0</v>
      </c>
      <c r="D146" s="3" t="n">
        <v>0.08</v>
      </c>
      <c r="E146" s="3" t="n">
        <v>4</v>
      </c>
      <c r="F146" s="3" t="n">
        <v>2.5</v>
      </c>
      <c r="G146" s="3" t="n">
        <v>3.75</v>
      </c>
    </row>
    <row r="147">
      <c r="A147" t="inlineStr">
        <is>
          <t>2022-02</t>
        </is>
      </c>
      <c r="B147" s="3" t="n">
        <v>0.25</v>
      </c>
      <c r="C147" s="3" t="n">
        <v>0</v>
      </c>
      <c r="D147" s="3" t="n">
        <v>0.08</v>
      </c>
      <c r="E147" s="3" t="n">
        <v>4</v>
      </c>
      <c r="F147" s="3" t="n">
        <v>2.5</v>
      </c>
      <c r="G147" s="3" t="n">
        <v>3.75</v>
      </c>
    </row>
    <row r="148">
      <c r="A148" t="inlineStr">
        <is>
          <t>2022-03</t>
        </is>
      </c>
      <c r="B148" s="3" t="n">
        <v>0.5</v>
      </c>
      <c r="C148" s="3" t="n">
        <v>0.25</v>
      </c>
      <c r="D148" s="3" t="n">
        <v>0.33</v>
      </c>
      <c r="E148" s="3" t="n">
        <v>4</v>
      </c>
      <c r="F148" s="3" t="n">
        <v>2.5</v>
      </c>
      <c r="G148" s="3" t="n">
        <v>3.5</v>
      </c>
    </row>
    <row r="149">
      <c r="A149" t="inlineStr">
        <is>
          <t>2022-04</t>
        </is>
      </c>
      <c r="B149" s="3" t="n">
        <v>0.5</v>
      </c>
      <c r="C149" s="3" t="n">
        <v>0.25</v>
      </c>
      <c r="D149" s="3" t="n">
        <v>0.33</v>
      </c>
      <c r="E149" s="3" t="n">
        <v>4</v>
      </c>
      <c r="F149" s="3" t="n">
        <v>2.5</v>
      </c>
      <c r="G149" s="3" t="n">
        <v>3.5</v>
      </c>
    </row>
    <row r="150">
      <c r="A150" t="inlineStr">
        <is>
          <t>2022-05</t>
        </is>
      </c>
      <c r="B150" s="3" t="n">
        <v>1</v>
      </c>
      <c r="C150" s="3" t="n">
        <v>0.75</v>
      </c>
      <c r="D150" s="3" t="n">
        <v>0.83</v>
      </c>
      <c r="E150" s="3" t="n">
        <v>4</v>
      </c>
      <c r="F150" s="3" t="n">
        <v>2.5</v>
      </c>
      <c r="G150" s="3" t="n">
        <v>3</v>
      </c>
    </row>
    <row r="151">
      <c r="A151" t="inlineStr">
        <is>
          <t>2022-06</t>
        </is>
      </c>
      <c r="B151" s="3" t="n">
        <v>1.75</v>
      </c>
      <c r="C151" s="3" t="n">
        <v>1.5</v>
      </c>
      <c r="D151" s="3" t="n">
        <v>1.58</v>
      </c>
      <c r="E151" s="3" t="n">
        <v>4</v>
      </c>
      <c r="F151" s="3" t="n">
        <v>2.5</v>
      </c>
      <c r="G151" s="3" t="n">
        <v>2.25</v>
      </c>
    </row>
    <row r="152">
      <c r="A152" t="inlineStr">
        <is>
          <t>2022-07</t>
        </is>
      </c>
      <c r="B152" s="3" t="n">
        <v>2.5</v>
      </c>
      <c r="C152" s="3" t="n">
        <v>2.25</v>
      </c>
      <c r="D152" s="3" t="n">
        <v>2.32</v>
      </c>
      <c r="E152" s="3" t="n">
        <v>4</v>
      </c>
      <c r="F152" s="3" t="n">
        <v>2.5</v>
      </c>
      <c r="G152" s="3" t="n">
        <v>1.5</v>
      </c>
    </row>
    <row r="153">
      <c r="A153" t="inlineStr">
        <is>
          <t>2022-08</t>
        </is>
      </c>
      <c r="B153" s="3" t="n">
        <v>2.5</v>
      </c>
      <c r="C153" s="3" t="n">
        <v>2.25</v>
      </c>
      <c r="D153" s="3" t="n">
        <v>2.33</v>
      </c>
      <c r="E153" s="3" t="n">
        <v>4</v>
      </c>
      <c r="F153" s="3" t="n">
        <v>2.5</v>
      </c>
      <c r="G153" s="3" t="n">
        <v>1.5</v>
      </c>
    </row>
    <row r="154">
      <c r="A154" t="inlineStr">
        <is>
          <t>2022-09</t>
        </is>
      </c>
      <c r="B154" s="3" t="n">
        <v>3.25</v>
      </c>
      <c r="C154" s="3" t="n">
        <v>3</v>
      </c>
      <c r="D154" s="3" t="n">
        <v>3.08</v>
      </c>
      <c r="E154" s="3" t="n">
        <v>5</v>
      </c>
      <c r="F154" s="3" t="n">
        <v>3.5</v>
      </c>
      <c r="G154" s="3" t="n">
        <v>1.75</v>
      </c>
    </row>
    <row r="155">
      <c r="A155" t="inlineStr">
        <is>
          <t>2022-10</t>
        </is>
      </c>
      <c r="B155" s="3" t="n">
        <v>3.25</v>
      </c>
      <c r="C155" s="3" t="n">
        <v>3</v>
      </c>
      <c r="D155" s="3" t="n">
        <v>3.08</v>
      </c>
      <c r="E155" s="3" t="n">
        <v>6</v>
      </c>
      <c r="F155" s="3" t="n">
        <v>4.5</v>
      </c>
      <c r="G155" s="3" t="n">
        <v>2.75</v>
      </c>
    </row>
    <row r="156">
      <c r="A156" t="inlineStr">
        <is>
          <t>2022-11</t>
        </is>
      </c>
      <c r="B156" s="3" t="n">
        <v>4</v>
      </c>
      <c r="C156" s="3" t="n">
        <v>3.75</v>
      </c>
      <c r="D156" s="3" t="n">
        <v>3.83</v>
      </c>
      <c r="E156" s="3" t="n">
        <v>6</v>
      </c>
      <c r="F156" s="3" t="n">
        <v>4.5</v>
      </c>
      <c r="G156" s="3" t="n">
        <v>2</v>
      </c>
    </row>
    <row r="157">
      <c r="A157" t="inlineStr">
        <is>
          <t>2022-12</t>
        </is>
      </c>
      <c r="B157" s="3" t="n">
        <v>4.5</v>
      </c>
      <c r="C157" s="3" t="n">
        <v>4.25</v>
      </c>
      <c r="D157" s="3" t="n">
        <v>4.33</v>
      </c>
      <c r="E157" s="3" t="n">
        <v>6</v>
      </c>
      <c r="F157" s="3" t="n">
        <v>4.5</v>
      </c>
      <c r="G157" s="3" t="n">
        <v>1.5</v>
      </c>
    </row>
    <row r="158">
      <c r="A158" t="inlineStr">
        <is>
          <t>2023-01</t>
        </is>
      </c>
      <c r="B158" s="3" t="n">
        <v>4.5</v>
      </c>
      <c r="C158" s="3" t="n">
        <v>4.25</v>
      </c>
      <c r="D158" s="3" t="n">
        <v>4.33</v>
      </c>
      <c r="E158" s="3" t="n">
        <v>6</v>
      </c>
      <c r="F158" s="3" t="n">
        <v>4.5</v>
      </c>
      <c r="G158" s="3" t="n">
        <v>1.5</v>
      </c>
    </row>
    <row r="159">
      <c r="A159" t="inlineStr">
        <is>
          <t>2023-02</t>
        </is>
      </c>
      <c r="B159" s="3" t="n">
        <v>4.75</v>
      </c>
      <c r="C159" s="3" t="n">
        <v>4.5</v>
      </c>
      <c r="D159" s="3" t="n">
        <v>4.57</v>
      </c>
      <c r="E159" s="3" t="n">
        <v>6</v>
      </c>
      <c r="F159" s="3" t="n">
        <v>4.5</v>
      </c>
      <c r="G159" s="3" t="n">
        <v>1.25</v>
      </c>
    </row>
    <row r="160">
      <c r="A160" t="inlineStr">
        <is>
          <t>2023-03</t>
        </is>
      </c>
      <c r="B160" s="3" t="n">
        <v>5</v>
      </c>
      <c r="C160" s="3" t="n">
        <v>4.75</v>
      </c>
      <c r="D160" s="3" t="n">
        <v>4.83</v>
      </c>
      <c r="E160" s="3" t="n">
        <v>6</v>
      </c>
      <c r="F160" s="3" t="n">
        <v>3.5</v>
      </c>
      <c r="G160" s="3" t="n">
        <v>1</v>
      </c>
    </row>
    <row r="161">
      <c r="A161" t="inlineStr">
        <is>
          <t>2023-04</t>
        </is>
      </c>
      <c r="B161" s="3" t="n">
        <v>5</v>
      </c>
      <c r="C161" s="3" t="n">
        <v>4.75</v>
      </c>
      <c r="D161" s="3" t="n">
        <v>4.83</v>
      </c>
      <c r="E161" s="3" t="n">
        <v>5.5</v>
      </c>
      <c r="F161" s="3" t="n">
        <v>3.5</v>
      </c>
      <c r="G161" s="3" t="n">
        <v>0.5</v>
      </c>
    </row>
    <row r="162">
      <c r="A162" t="inlineStr">
        <is>
          <t>2023-05</t>
        </is>
      </c>
      <c r="B162" s="3" t="n">
        <v>5.25</v>
      </c>
      <c r="C162" s="3" t="n">
        <v>5</v>
      </c>
      <c r="D162" s="3" t="n">
        <v>5.08</v>
      </c>
      <c r="E162" s="3" t="n">
        <v>5</v>
      </c>
      <c r="F162" s="3" t="n">
        <v>3.5</v>
      </c>
      <c r="G162" s="3" t="n">
        <v>-0.25</v>
      </c>
    </row>
    <row r="163">
      <c r="A163" t="inlineStr">
        <is>
          <t>2023-06</t>
        </is>
      </c>
      <c r="B163" s="3" t="n">
        <v>5.25</v>
      </c>
      <c r="C163" s="3" t="n">
        <v>5</v>
      </c>
      <c r="D163" s="3" t="n">
        <v>5.08</v>
      </c>
      <c r="E163" s="3" t="n">
        <v>4.5</v>
      </c>
      <c r="F163" s="3" t="n">
        <v>3</v>
      </c>
      <c r="G163" s="3" t="n">
        <v>-0.75</v>
      </c>
    </row>
    <row r="164">
      <c r="A164" t="inlineStr">
        <is>
          <t>2023-07</t>
        </is>
      </c>
      <c r="B164" s="3" t="n">
        <v>5.5</v>
      </c>
      <c r="C164" s="3" t="n">
        <v>5.25</v>
      </c>
      <c r="D164" s="3" t="n">
        <v>5.33</v>
      </c>
      <c r="E164" s="3" t="n">
        <v>4.5</v>
      </c>
      <c r="F164" s="3" t="n">
        <v>3</v>
      </c>
      <c r="G164" s="3" t="n">
        <v>-1</v>
      </c>
    </row>
    <row r="165">
      <c r="A165" t="inlineStr">
        <is>
          <t>2023-08</t>
        </is>
      </c>
      <c r="B165" s="3" t="n">
        <v>5.5</v>
      </c>
      <c r="C165" s="3" t="n">
        <v>5.25</v>
      </c>
      <c r="D165" s="3" t="n">
        <v>5.33</v>
      </c>
      <c r="E165" s="3" t="n">
        <v>4.5</v>
      </c>
      <c r="F165" s="3" t="n">
        <v>3</v>
      </c>
      <c r="G165" s="3" t="n">
        <v>-1</v>
      </c>
    </row>
    <row r="166">
      <c r="A166" t="inlineStr">
        <is>
          <t>2023-09</t>
        </is>
      </c>
      <c r="B166" s="3" t="n">
        <v>5.5</v>
      </c>
      <c r="C166" s="3" t="n">
        <v>5.25</v>
      </c>
      <c r="D166" s="3" t="n">
        <v>5.33</v>
      </c>
      <c r="E166" s="3" t="n">
        <v>4.5</v>
      </c>
      <c r="F166" s="3" t="n">
        <v>3</v>
      </c>
      <c r="G166" s="3" t="n">
        <v>-1</v>
      </c>
    </row>
    <row r="167">
      <c r="A167" t="inlineStr">
        <is>
          <t>2023-10</t>
        </is>
      </c>
      <c r="B167" s="3" t="n">
        <v>5.5</v>
      </c>
      <c r="C167" s="3" t="n">
        <v>5.25</v>
      </c>
      <c r="D167" s="3" t="n">
        <v>5.33</v>
      </c>
      <c r="E167" s="3" t="n">
        <v>4.5</v>
      </c>
      <c r="F167" s="3" t="n">
        <v>3</v>
      </c>
      <c r="G167" s="3" t="n">
        <v>-1</v>
      </c>
    </row>
    <row r="168">
      <c r="A168" t="inlineStr">
        <is>
          <t>2023-11</t>
        </is>
      </c>
      <c r="B168" s="3" t="n">
        <v>5.5</v>
      </c>
      <c r="C168" s="3" t="n">
        <v>5.25</v>
      </c>
      <c r="D168" s="3" t="n">
        <v>5.33</v>
      </c>
      <c r="E168" s="3" t="n">
        <v>4.5</v>
      </c>
      <c r="F168" s="3" t="n">
        <v>3</v>
      </c>
      <c r="G168" s="3" t="n">
        <v>-1</v>
      </c>
    </row>
    <row r="169">
      <c r="A169" t="inlineStr">
        <is>
          <t>2023-12</t>
        </is>
      </c>
      <c r="B169" s="3" t="n">
        <v>5.5</v>
      </c>
      <c r="C169" s="3" t="n">
        <v>5.25</v>
      </c>
      <c r="D169" s="3" t="n">
        <v>5.33</v>
      </c>
      <c r="E169" s="3" t="n">
        <v>4.5</v>
      </c>
      <c r="F169" s="3" t="n">
        <v>3</v>
      </c>
      <c r="G169" s="3" t="n">
        <v>-1</v>
      </c>
    </row>
    <row r="170">
      <c r="A170" t="inlineStr">
        <is>
          <t>2024-01</t>
        </is>
      </c>
      <c r="B170" s="3" t="n">
        <v>5.5</v>
      </c>
      <c r="C170" s="3" t="n">
        <v>5.25</v>
      </c>
      <c r="D170" s="3" t="n">
        <v>5.33</v>
      </c>
      <c r="E170" s="3" t="n">
        <v>4.5</v>
      </c>
      <c r="F170" s="3" t="n">
        <v>3</v>
      </c>
      <c r="G170" s="3" t="n">
        <v>-1</v>
      </c>
    </row>
    <row r="171">
      <c r="A171" t="inlineStr">
        <is>
          <t>2024-02</t>
        </is>
      </c>
      <c r="B171" s="3" t="n">
        <v>5.5</v>
      </c>
      <c r="C171" s="3" t="n">
        <v>5.25</v>
      </c>
      <c r="D171" s="3" t="n">
        <v>5.33</v>
      </c>
      <c r="E171" s="3" t="n">
        <v>4.5</v>
      </c>
      <c r="F171" s="3" t="n">
        <v>3</v>
      </c>
      <c r="G171" s="3" t="n">
        <v>-1</v>
      </c>
    </row>
    <row r="172">
      <c r="A172" t="inlineStr">
        <is>
          <t>2024-03</t>
        </is>
      </c>
      <c r="B172" s="3" t="n">
        <v>5.5</v>
      </c>
      <c r="C172" s="3" t="n">
        <v>5.25</v>
      </c>
      <c r="D172" s="3" t="n">
        <v>5.33</v>
      </c>
      <c r="E172" s="3" t="n">
        <v>4.5</v>
      </c>
      <c r="F172" s="3" t="n">
        <v>3</v>
      </c>
      <c r="G172" s="3" t="n">
        <v>-1</v>
      </c>
    </row>
    <row r="173">
      <c r="A173" t="inlineStr">
        <is>
          <t>2024-04</t>
        </is>
      </c>
      <c r="B173" s="3" t="n">
        <v>5.5</v>
      </c>
      <c r="C173" s="3" t="n">
        <v>5.25</v>
      </c>
      <c r="D173" s="3" t="n">
        <v>5.33</v>
      </c>
      <c r="E173" s="3" t="n">
        <v>4.5</v>
      </c>
      <c r="F173" s="3" t="n">
        <v>3</v>
      </c>
      <c r="G173" s="3" t="n">
        <v>-1</v>
      </c>
    </row>
    <row r="174">
      <c r="A174" t="inlineStr">
        <is>
          <t>2024-05</t>
        </is>
      </c>
      <c r="B174" s="3" t="n">
        <v>5.5</v>
      </c>
      <c r="C174" s="3" t="n">
        <v>5.25</v>
      </c>
      <c r="D174" s="3" t="n">
        <v>5.33</v>
      </c>
      <c r="E174" s="3" t="n">
        <v>4.5</v>
      </c>
      <c r="F174" s="3" t="n">
        <v>3</v>
      </c>
      <c r="G174" s="3" t="n">
        <v>-1</v>
      </c>
    </row>
    <row r="175">
      <c r="A175" t="inlineStr">
        <is>
          <t>2024-06</t>
        </is>
      </c>
      <c r="B175" s="3" t="n">
        <v>5.5</v>
      </c>
      <c r="C175" s="3" t="n">
        <v>5.25</v>
      </c>
      <c r="D175" s="3" t="n">
        <v>5.33</v>
      </c>
      <c r="E175" s="3" t="n">
        <v>4.5</v>
      </c>
      <c r="F175" s="3" t="n">
        <v>3</v>
      </c>
      <c r="G175" s="3" t="n">
        <v>-1</v>
      </c>
    </row>
    <row r="176">
      <c r="A176" t="inlineStr">
        <is>
          <t>2024-07</t>
        </is>
      </c>
      <c r="B176" s="3" t="n">
        <v>5.5</v>
      </c>
      <c r="C176" s="3" t="n">
        <v>5.25</v>
      </c>
      <c r="D176" s="3" t="n">
        <v>5.33</v>
      </c>
      <c r="E176" s="3" t="n">
        <v>4.5</v>
      </c>
      <c r="F176" s="3" t="n">
        <v>3</v>
      </c>
      <c r="G176" s="3" t="n">
        <v>-1</v>
      </c>
    </row>
    <row r="177">
      <c r="A177" t="inlineStr">
        <is>
          <t>2024-08</t>
        </is>
      </c>
      <c r="B177" s="3" t="n">
        <v>5.5</v>
      </c>
      <c r="C177" s="3" t="n">
        <v>5.25</v>
      </c>
      <c r="D177" s="3" t="n">
        <v>5.33</v>
      </c>
      <c r="E177" s="3" t="n">
        <v>4.5</v>
      </c>
      <c r="F177" s="3" t="n">
        <v>3</v>
      </c>
      <c r="G177" s="3" t="n">
        <v>-1</v>
      </c>
    </row>
    <row r="178">
      <c r="A178" t="inlineStr">
        <is>
          <t>2024-09</t>
        </is>
      </c>
      <c r="B178" s="3" t="n">
        <v>5</v>
      </c>
      <c r="C178" s="3" t="n">
        <v>4.75</v>
      </c>
      <c r="D178" s="3" t="n">
        <v>4.83</v>
      </c>
      <c r="E178" s="3" t="n">
        <v>4.5</v>
      </c>
      <c r="F178" s="3" t="n">
        <v>3</v>
      </c>
      <c r="G178" s="3" t="n">
        <v>-0.5</v>
      </c>
    </row>
    <row r="179">
      <c r="A179" t="inlineStr">
        <is>
          <t>2024-10</t>
        </is>
      </c>
      <c r="B179" s="3" t="n">
        <v>5</v>
      </c>
      <c r="C179" s="3" t="n">
        <v>4.75</v>
      </c>
      <c r="D179" s="3" t="n">
        <v>4.83</v>
      </c>
      <c r="E179" s="3" t="n">
        <v>4.5</v>
      </c>
      <c r="F179" s="3" t="n">
        <v>3</v>
      </c>
      <c r="G179" s="3" t="n">
        <v>-0.5</v>
      </c>
    </row>
    <row r="180">
      <c r="A180" t="inlineStr">
        <is>
          <t>2024-11</t>
        </is>
      </c>
      <c r="B180" s="3" t="n">
        <v>4.75</v>
      </c>
      <c r="C180" s="3" t="n">
        <v>4.5</v>
      </c>
      <c r="D180" s="3" t="n">
        <v>4.58</v>
      </c>
      <c r="E180" s="3" t="n">
        <v>4.5</v>
      </c>
      <c r="F180" s="3" t="n">
        <v>3</v>
      </c>
      <c r="G180" s="3" t="n">
        <v>-0.25</v>
      </c>
    </row>
    <row r="181">
      <c r="A181" t="inlineStr">
        <is>
          <t>2024-12</t>
        </is>
      </c>
      <c r="B181" s="3" t="n">
        <v>4.5</v>
      </c>
      <c r="C181" s="3" t="n">
        <v>4.25</v>
      </c>
      <c r="D181" s="3" t="n">
        <v>4.33</v>
      </c>
      <c r="E181" s="3" t="n">
        <v>4.5</v>
      </c>
      <c r="F181" s="3" t="n">
        <v>3</v>
      </c>
      <c r="G181" s="3" t="n">
        <v>0</v>
      </c>
    </row>
    <row r="182">
      <c r="A182" t="inlineStr">
        <is>
          <t>2025-01</t>
        </is>
      </c>
      <c r="B182" s="3" t="n">
        <v>4.5</v>
      </c>
      <c r="C182" s="3" t="n">
        <v>4.25</v>
      </c>
      <c r="D182" s="3" t="n">
        <v>4.33</v>
      </c>
      <c r="E182" s="3" t="n">
        <v>4.5</v>
      </c>
      <c r="F182" s="3" t="n">
        <v>3</v>
      </c>
      <c r="G182" s="3" t="n">
        <v>0</v>
      </c>
    </row>
    <row r="183">
      <c r="A183" t="inlineStr">
        <is>
          <t>2025-02</t>
        </is>
      </c>
      <c r="B183" s="3" t="n">
        <v>4.5</v>
      </c>
      <c r="C183" s="3" t="n">
        <v>4.25</v>
      </c>
      <c r="D183" s="3" t="n">
        <v>4.33</v>
      </c>
      <c r="E183" s="3" t="n">
        <v>4.5</v>
      </c>
      <c r="F183" s="3" t="n">
        <v>3</v>
      </c>
      <c r="G183" s="3" t="n">
        <v>0</v>
      </c>
    </row>
    <row r="184">
      <c r="A184" t="inlineStr">
        <is>
          <t>2025-03</t>
        </is>
      </c>
      <c r="B184" s="3" t="n">
        <v>4.5</v>
      </c>
      <c r="C184" s="3" t="n">
        <v>4.25</v>
      </c>
      <c r="D184" s="3" t="n">
        <v>4.33</v>
      </c>
      <c r="E184" s="3" t="n">
        <v>4.5</v>
      </c>
      <c r="F184" s="3" t="n">
        <v>3</v>
      </c>
      <c r="G184" s="3" t="n">
        <v>0</v>
      </c>
    </row>
    <row r="185">
      <c r="A185" t="inlineStr">
        <is>
          <t>2025-04</t>
        </is>
      </c>
      <c r="B185" s="3" t="n">
        <v>4.5</v>
      </c>
      <c r="C185" s="3" t="n">
        <v>4.25</v>
      </c>
      <c r="D185" s="3" t="n">
        <v>4.33</v>
      </c>
      <c r="E185" s="3" t="n">
        <v>4.5</v>
      </c>
      <c r="F185" s="3" t="n">
        <v>3</v>
      </c>
      <c r="G185" s="3" t="n">
        <v>0</v>
      </c>
    </row>
    <row r="186">
      <c r="A186" t="inlineStr">
        <is>
          <t>2025-05</t>
        </is>
      </c>
      <c r="B186" s="3" t="n">
        <v>4.5</v>
      </c>
      <c r="C186" s="3" t="n">
        <v>4.25</v>
      </c>
      <c r="D186" s="3" t="n">
        <v>4.33</v>
      </c>
      <c r="E186" s="3" t="n">
        <v>4.5</v>
      </c>
      <c r="F186" s="3" t="n">
        <v>3</v>
      </c>
      <c r="G186" s="3" t="n">
        <v>0</v>
      </c>
    </row>
    <row r="187">
      <c r="A187" t="inlineStr">
        <is>
          <t>2025-06</t>
        </is>
      </c>
      <c r="B187" s="3" t="n">
        <v>4.5</v>
      </c>
      <c r="C187" s="3" t="n">
        <v>4.25</v>
      </c>
      <c r="D187" s="3" t="n">
        <v>4.33</v>
      </c>
      <c r="E187" s="3" t="n">
        <v>4.5</v>
      </c>
      <c r="F187" s="3" t="n">
        <v>3</v>
      </c>
      <c r="G187" s="3" t="n">
        <v>0</v>
      </c>
    </row>
    <row r="188">
      <c r="A188" t="inlineStr">
        <is>
          <t>2025-07</t>
        </is>
      </c>
      <c r="B188" s="3" t="n">
        <v>4.5</v>
      </c>
      <c r="C188" s="3" t="n">
        <v>4.25</v>
      </c>
      <c r="D188" s="3" t="n">
        <v>4.33</v>
      </c>
      <c r="E188" s="3" t="n">
        <v>4.5</v>
      </c>
      <c r="F188" s="3" t="n">
        <v>3</v>
      </c>
      <c r="G188" s="3" t="n">
        <v>0</v>
      </c>
    </row>
    <row r="189">
      <c r="A189" t="inlineStr">
        <is>
          <t>2025-08</t>
        </is>
      </c>
      <c r="B189" s="3" t="n">
        <v>4.5</v>
      </c>
      <c r="C189" s="3" t="n">
        <v>4.25</v>
      </c>
      <c r="D189" s="3" t="n">
        <v>4.33</v>
      </c>
      <c r="E189" s="3" t="n">
        <v>4.5</v>
      </c>
      <c r="F189" s="3" t="n">
        <v>3</v>
      </c>
      <c r="G189" s="3" t="n">
        <v>0</v>
      </c>
    </row>
    <row r="190">
      <c r="A190" t="inlineStr">
        <is>
          <t>2025-09</t>
        </is>
      </c>
      <c r="B190" s="3" t="n">
        <v>4.25</v>
      </c>
      <c r="C190" s="3" t="n">
        <v>4</v>
      </c>
      <c r="D190" s="3" t="n">
        <v>4.09</v>
      </c>
      <c r="E190" s="3" t="n">
        <v>4.5</v>
      </c>
      <c r="F190" s="3" t="n">
        <v>3</v>
      </c>
      <c r="G190" s="3" t="n">
        <v>0.25</v>
      </c>
    </row>
    <row r="191">
      <c r="A191" t="inlineStr">
        <is>
          <t>2025-10</t>
        </is>
      </c>
      <c r="B191" s="3" t="n">
        <v>4</v>
      </c>
      <c r="C191" s="3" t="n">
        <v>3.75</v>
      </c>
      <c r="D191" s="3" t="n">
        <v>3.86</v>
      </c>
      <c r="E191" s="3" t="n">
        <v>4.5</v>
      </c>
      <c r="F191" s="3" t="n">
        <v>3</v>
      </c>
      <c r="G191" s="3" t="n">
        <v>0.5</v>
      </c>
    </row>
    <row r="192">
      <c r="A192" t="inlineStr">
        <is>
          <t>2025-11</t>
        </is>
      </c>
      <c r="B192" s="3" t="n">
        <v>4</v>
      </c>
      <c r="C192" s="3" t="n">
        <v>3.75</v>
      </c>
      <c r="D192" s="3" t="n">
        <v>3.89</v>
      </c>
      <c r="E192" s="3" t="n">
        <v>4.5</v>
      </c>
      <c r="F192" s="3" t="n">
        <v>3</v>
      </c>
      <c r="G192" s="3" t="n">
        <v>0.5</v>
      </c>
    </row>
    <row r="193">
      <c r="A193" t="inlineStr">
        <is>
          <t>2025-12</t>
        </is>
      </c>
      <c r="B193" s="3" t="n">
        <v>3.75</v>
      </c>
      <c r="C193" s="3" t="n">
        <v>3.5</v>
      </c>
      <c r="D193" s="3" t="n">
        <v>3.64</v>
      </c>
      <c r="E193" s="3" t="n">
        <v>4.5</v>
      </c>
      <c r="F193" s="3" t="n">
        <v>3</v>
      </c>
      <c r="G193" s="3" t="n">
        <v>0.75</v>
      </c>
    </row>
    <row r="194">
      <c r="A194" t="inlineStr">
        <is>
          <t>2026-01</t>
        </is>
      </c>
      <c r="B194" s="3" t="n">
        <v>3.75</v>
      </c>
      <c r="C194" s="3" t="n">
        <v>3.5</v>
      </c>
      <c r="D194" s="3" t="n">
        <v>3.64</v>
      </c>
      <c r="E194" s="3" t="n">
        <v>4.5</v>
      </c>
      <c r="F194" s="3" t="n">
        <v>3</v>
      </c>
      <c r="G194" s="3" t="n">
        <v>0.75</v>
      </c>
    </row>
    <row r="195">
      <c r="A195" t="inlineStr">
        <is>
          <t>2026-02</t>
        </is>
      </c>
      <c r="B195" s="3" t="n">
        <v>3.75</v>
      </c>
      <c r="C195" s="3" t="n">
        <v>3.5</v>
      </c>
      <c r="D195" s="3" t="n">
        <v>3.64</v>
      </c>
      <c r="E195" s="3" t="n">
        <v>4.5</v>
      </c>
      <c r="F195" s="3" t="n">
        <v>3</v>
      </c>
      <c r="G195" s="3" t="n">
        <v>0.75</v>
      </c>
    </row>
    <row r="196">
      <c r="A196" t="inlineStr">
        <is>
          <t>2026-03</t>
        </is>
      </c>
      <c r="B196" s="3" t="n">
        <v>3.75</v>
      </c>
      <c r="C196" s="3" t="n">
        <v>3.5</v>
      </c>
      <c r="D196" s="3" t="n">
        <v>3.64</v>
      </c>
      <c r="E196" s="3" t="n">
        <v>4.5</v>
      </c>
      <c r="F196" s="3" t="n">
        <v>3</v>
      </c>
      <c r="G196" s="3" t="n">
        <v>0.75</v>
      </c>
    </row>
    <row r="197">
      <c r="A197" t="inlineStr">
        <is>
          <t>2026-04</t>
        </is>
      </c>
      <c r="B197" s="3" t="n">
        <v>3.75</v>
      </c>
      <c r="C197" s="3" t="n">
        <v>3.5</v>
      </c>
      <c r="D197" s="3" t="n">
        <v>3.64</v>
      </c>
      <c r="E197" s="3" t="n">
        <v>4.5</v>
      </c>
      <c r="F197" s="3" t="n">
        <v>3</v>
      </c>
      <c r="G197" s="3" t="n">
        <v>0.75</v>
      </c>
    </row>
    <row r="198">
      <c r="A198" t="inlineStr">
        <is>
          <t>2026-05</t>
        </is>
      </c>
      <c r="B198" s="3" t="n">
        <v>3.75</v>
      </c>
      <c r="C198" s="3" t="n">
        <v>3.5</v>
      </c>
      <c r="D198" s="3" t="n">
        <v>3.62</v>
      </c>
      <c r="E198" s="3" t="n">
        <v>4.5</v>
      </c>
      <c r="F198" s="3" t="n">
        <v>3</v>
      </c>
      <c r="G198" s="3" t="n">
        <v>0.75</v>
      </c>
    </row>
    <row r="199">
      <c r="A199" t="inlineStr">
        <is>
          <t>2026-06</t>
        </is>
      </c>
      <c r="B199" s="3" t="n">
        <v>3.75</v>
      </c>
      <c r="C199" s="3" t="n">
        <v>3.5</v>
      </c>
      <c r="D199" s="3" t="n">
        <v>3.63</v>
      </c>
      <c r="E199" s="3" t="n">
        <v>4.5</v>
      </c>
      <c r="F199" s="3" t="n">
        <v>3</v>
      </c>
      <c r="G199" s="3" t="n">
        <v>0.75</v>
      </c>
    </row>
    <row r="200">
      <c r="A200" t="inlineStr">
        <is>
          <t>2026-07</t>
        </is>
      </c>
      <c r="B200" s="3" t="n">
        <v>3.75</v>
      </c>
      <c r="C200" s="3" t="n">
        <v>3.5</v>
      </c>
      <c r="D200" s="3" t="n">
        <v>3.63</v>
      </c>
      <c r="E200" s="3" t="n">
        <v>4.5</v>
      </c>
      <c r="F200" s="3" t="n">
        <v>3</v>
      </c>
      <c r="G200" s="3" t="n">
        <v>0.75</v>
      </c>
    </row>
    <row r="201">
      <c r="A201" t="inlineStr">
        <is>
          <t>2026-08</t>
        </is>
      </c>
      <c r="B201" s="3" t="n">
        <v>3.75</v>
      </c>
      <c r="C201" s="3" t="n">
        <v>3.5</v>
      </c>
      <c r="D201" s="3" t="n">
        <v>3.63</v>
      </c>
      <c r="E201" s="3" t="n">
        <v>4.5</v>
      </c>
      <c r="F201" s="3" t="n">
        <v>3</v>
      </c>
      <c r="G201" s="3" t="n">
        <v>0.75</v>
      </c>
    </row>
    <row r="202">
      <c r="A202" t="inlineStr">
        <is>
          <t>2026-09</t>
        </is>
      </c>
      <c r="B202" s="3" t="n">
        <v>4</v>
      </c>
      <c r="C202" s="3" t="n">
        <v>3.75</v>
      </c>
      <c r="D202" s="3" t="n">
        <v>3.88</v>
      </c>
      <c r="E202" s="3" t="n">
        <v>4.5</v>
      </c>
      <c r="F202" s="3" t="n">
        <v>3</v>
      </c>
      <c r="G202" s="3" t="n">
        <v>0.5</v>
      </c>
    </row>
    <row r="203">
      <c r="A203" t="inlineStr">
        <is>
          <t>2026-10</t>
        </is>
      </c>
      <c r="B203" s="3" t="n">
        <v>4</v>
      </c>
      <c r="C203" s="3" t="n">
        <v>3.75</v>
      </c>
      <c r="D203" s="3" t="n">
        <v>3.88</v>
      </c>
      <c r="E203" s="3" t="n">
        <v>4.5</v>
      </c>
      <c r="F203" s="3" t="n">
        <v>3</v>
      </c>
      <c r="G203" s="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38" customWidth="1" min="3" max="3"/>
    <col width="30" customWidth="1" min="4" max="4"/>
    <col width="27" customWidth="1" min="5" max="5"/>
    <col width="29" customWidth="1" min="6" max="6"/>
    <col width="38" customWidth="1" min="7" max="7"/>
    <col width="23" customWidth="1" min="8" max="8"/>
    <col width="45" customWidth="1" min="9" max="9"/>
    <col width="45" customWidth="1" min="10" max="10"/>
    <col width="45" customWidth="1" min="11" max="11"/>
    <col width="29" customWidth="1" min="12" max="12"/>
    <col width="40" customWidth="1" min="13" max="13"/>
    <col width="26" customWidth="1" min="14" max="14"/>
    <col width="39" customWidth="1" min="15" max="15"/>
    <col width="45" customWidth="1" min="16" max="16"/>
    <col width="42" customWidth="1" min="17" max="17"/>
    <col width="45" customWidth="1" min="18" max="18"/>
    <col width="37" customWidth="1" min="19" max="19"/>
    <col width="42" customWidth="1" min="20" max="20"/>
    <col width="45" customWidth="1" min="21" max="21"/>
    <col width="45" customWidth="1" min="22" max="22"/>
  </cols>
  <sheetData>
    <row r="1">
      <c r="A1" s="1" t="inlineStr">
        <is>
          <t>time</t>
        </is>
      </c>
      <c r="B1" s="1" t="inlineStr">
        <is>
          <t>Dư nợ tín dụng toàn nền KT (tỷ VND)</t>
        </is>
      </c>
      <c r="C1" s="1" t="inlineStr">
        <is>
          <t>Dư nợ - Nông, lâm, thủy sản (tỷ VND)</t>
        </is>
      </c>
      <c r="D1" s="1" t="inlineStr">
        <is>
          <t>Dư nợ - Công nghiệp (tỷ VND)</t>
        </is>
      </c>
      <c r="E1" s="1" t="inlineStr">
        <is>
          <t>Dư nợ - Xây dựng (tỷ VND)</t>
        </is>
      </c>
      <c r="F1" s="1" t="inlineStr">
        <is>
          <t>Dư nợ - Thương mại (tỷ VND)</t>
        </is>
      </c>
      <c r="G1" s="1" t="inlineStr">
        <is>
          <t>Dư nợ - Vận tải, viễn thông (tỷ VND)</t>
        </is>
      </c>
      <c r="H1" s="1" t="inlineStr">
        <is>
          <t>Dư nợ - Khác (tỷ VND)</t>
        </is>
      </c>
      <c r="I1" s="1" t="inlineStr">
        <is>
          <t>Tăng trưởng dư nợ so cùng kỳ (tính từ số dư, %)</t>
        </is>
      </c>
      <c r="J1" s="1" t="inlineStr">
        <is>
          <t>Tăng trưởng tín dụng so cuối năm trước (công bố, %)</t>
        </is>
      </c>
      <c r="K1" s="1" t="inlineStr">
        <is>
          <t>Tăng trưởng tín dụng so cùng kỳ (công bố, %)</t>
        </is>
      </c>
      <c r="L1" s="1" t="inlineStr">
        <is>
          <t>GDP danh nghĩa quý (tỷ VND)</t>
        </is>
      </c>
      <c r="M1" s="1" t="inlineStr">
        <is>
          <t>GDP danh nghĩa 4 quý gần nhất (tỷ VND)</t>
        </is>
      </c>
      <c r="N1" s="1" t="inlineStr">
        <is>
          <t>Hệ số điều chỉnh gốc GDP</t>
        </is>
      </c>
      <c r="O1" s="1" t="inlineStr">
        <is>
          <t>GDP danh nghĩa quý - gốc mới (tỷ VND)</t>
        </is>
      </c>
      <c r="P1" s="1" t="inlineStr">
        <is>
          <t>GDP danh nghĩa 4 quý gần nhất - gốc mới (tỷ VND)</t>
        </is>
      </c>
      <c r="Q1" s="1" t="inlineStr">
        <is>
          <t>GDP danh nghĩa năm - World Bank (tỷ VND)</t>
        </is>
      </c>
      <c r="R1" s="1" t="inlineStr">
        <is>
          <t>Tăng trưởng GDP danh nghĩa so cùng kỳ - gốc mới (%)</t>
        </is>
      </c>
      <c r="S1" s="1" t="inlineStr">
        <is>
          <t>Tăng trưởng GDP thực so cùng kỳ (%)</t>
        </is>
      </c>
      <c r="T1" s="1" t="inlineStr">
        <is>
          <t>Dư nợ tín dụng / GDP 4 quý - gốc mới (%)</t>
        </is>
      </c>
      <c r="U1" s="1" t="inlineStr">
        <is>
          <t>Dư nợ tín dụng / GDP 4 quý - số file gốc (%)</t>
        </is>
      </c>
      <c r="V1" s="1" t="inlineStr">
        <is>
          <t>Tăng trưởng tín dụng cả năm - NHNN công bố (%)</t>
        </is>
      </c>
    </row>
    <row r="2">
      <c r="A2" t="inlineStr">
        <is>
          <t>2010Q1</t>
        </is>
      </c>
      <c r="B2" s="2" t="n">
        <v>1998111</v>
      </c>
      <c r="C2" t="inlineStr"/>
      <c r="D2" t="inlineStr"/>
      <c r="E2" t="inlineStr"/>
      <c r="F2" t="inlineStr"/>
      <c r="G2" t="inlineStr"/>
      <c r="H2" t="inlineStr"/>
      <c r="I2" t="inlineStr"/>
      <c r="J2" s="3" t="n">
        <v>3.07</v>
      </c>
      <c r="K2" s="3" t="n">
        <v>33.72846320754716</v>
      </c>
      <c r="L2" s="2" t="n">
        <v>412972.121828467</v>
      </c>
      <c r="M2" t="inlineStr"/>
      <c r="N2" s="3" t="n">
        <v>1.26972239642731</v>
      </c>
      <c r="O2" s="2" t="n">
        <v>524359.9521857121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2010Q2</t>
        </is>
      </c>
      <c r="B3" s="2" t="n">
        <v>2136551</v>
      </c>
      <c r="C3" t="inlineStr"/>
      <c r="D3" t="inlineStr"/>
      <c r="E3" t="inlineStr"/>
      <c r="F3" t="inlineStr"/>
      <c r="G3" t="inlineStr"/>
      <c r="H3" t="inlineStr"/>
      <c r="I3" t="inlineStr"/>
      <c r="J3" s="3" t="n">
        <v>10.21</v>
      </c>
      <c r="K3" s="3" t="n">
        <v>26.22569370419718</v>
      </c>
      <c r="L3" s="2" t="n">
        <v>526576.774528079</v>
      </c>
      <c r="M3" t="inlineStr"/>
      <c r="N3" s="3" t="n">
        <v>1.26972239642731</v>
      </c>
      <c r="O3" s="2" t="n">
        <v>668606.3240567555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2010Q3</t>
        </is>
      </c>
      <c r="B4" s="2" t="n">
        <v>2310569</v>
      </c>
      <c r="C4" t="inlineStr"/>
      <c r="D4" t="inlineStr"/>
      <c r="E4" t="inlineStr"/>
      <c r="F4" t="inlineStr"/>
      <c r="G4" t="inlineStr"/>
      <c r="H4" t="inlineStr"/>
      <c r="I4" t="inlineStr"/>
      <c r="J4" s="3" t="n">
        <v>19.19</v>
      </c>
      <c r="K4" s="3" t="n">
        <v>25.3226353211009</v>
      </c>
      <c r="L4" s="2" t="n">
        <v>544790.4761269219</v>
      </c>
      <c r="M4" t="inlineStr"/>
      <c r="N4" s="3" t="n">
        <v>1.26972239642731</v>
      </c>
      <c r="O4" s="2" t="n">
        <v>691732.6688986503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2010Q4</t>
        </is>
      </c>
      <c r="B5" s="2" t="n">
        <v>2511463</v>
      </c>
      <c r="C5" t="inlineStr"/>
      <c r="D5" t="inlineStr"/>
      <c r="E5" t="inlineStr"/>
      <c r="F5" t="inlineStr"/>
      <c r="G5" t="inlineStr"/>
      <c r="H5" t="inlineStr"/>
      <c r="I5" t="inlineStr"/>
      <c r="J5" s="3" t="n">
        <v>29.55</v>
      </c>
      <c r="K5" s="3" t="n">
        <v>29.55000000000001</v>
      </c>
      <c r="L5" s="2" t="n">
        <v>673489.124288152</v>
      </c>
      <c r="M5" s="2" t="n">
        <v>2157828.49677162</v>
      </c>
      <c r="N5" s="3" t="n">
        <v>1.26972239642731</v>
      </c>
      <c r="O5" s="2" t="n">
        <v>855144.2248588825</v>
      </c>
      <c r="P5" s="2" t="n">
        <v>2739843.17</v>
      </c>
      <c r="Q5" s="2" t="n">
        <v>2739843.17</v>
      </c>
      <c r="R5" t="inlineStr"/>
      <c r="S5" t="inlineStr"/>
      <c r="T5" s="3" t="n">
        <v>91.66448019723697</v>
      </c>
      <c r="U5" s="3" t="n">
        <v>116.3884434632994</v>
      </c>
      <c r="V5" t="inlineStr"/>
    </row>
    <row r="6">
      <c r="A6" t="inlineStr">
        <is>
          <t>2011Q1</t>
        </is>
      </c>
      <c r="B6" s="2" t="n">
        <v>2637036</v>
      </c>
      <c r="C6" t="inlineStr"/>
      <c r="D6" t="inlineStr"/>
      <c r="E6" t="inlineStr"/>
      <c r="F6" t="inlineStr"/>
      <c r="G6" t="inlineStr"/>
      <c r="H6" t="inlineStr"/>
      <c r="I6" s="3" t="n">
        <v>31.97645175868609</v>
      </c>
      <c r="J6" s="3" t="n">
        <v>5</v>
      </c>
      <c r="K6" s="3" t="n">
        <v>31.97584166100711</v>
      </c>
      <c r="L6" s="2" t="n">
        <v>506399.991212621</v>
      </c>
      <c r="M6" s="2" t="n">
        <v>2251256.366155774</v>
      </c>
      <c r="N6" s="3" t="n">
        <v>1.273393459231282</v>
      </c>
      <c r="O6" s="2" t="n">
        <v>644846.4365649301</v>
      </c>
      <c r="P6" s="2" t="n">
        <v>2860329.654379218</v>
      </c>
      <c r="Q6" t="inlineStr"/>
      <c r="R6" s="3" t="n">
        <v>22.97781969751678</v>
      </c>
      <c r="S6" s="3" t="n">
        <v>5.896601141560009</v>
      </c>
      <c r="T6" s="3" t="n">
        <v>92.19342938191227</v>
      </c>
      <c r="U6" s="3" t="n">
        <v>117.1361929118264</v>
      </c>
      <c r="V6" t="inlineStr"/>
    </row>
    <row r="7">
      <c r="A7" t="inlineStr">
        <is>
          <t>2011Q2</t>
        </is>
      </c>
      <c r="B7" s="2" t="n">
        <v>2685256</v>
      </c>
      <c r="C7" t="inlineStr"/>
      <c r="D7" t="inlineStr"/>
      <c r="E7" t="inlineStr"/>
      <c r="F7" t="inlineStr"/>
      <c r="G7" t="inlineStr"/>
      <c r="H7" t="inlineStr"/>
      <c r="I7" s="3" t="n">
        <v>25.68181148027826</v>
      </c>
      <c r="J7" s="3" t="n">
        <v>6.92</v>
      </c>
      <c r="K7" s="3" t="n">
        <v>29.13934365094164</v>
      </c>
      <c r="L7" s="2" t="n">
        <v>660703.495548516</v>
      </c>
      <c r="M7" s="2" t="n">
        <v>2385383.087176211</v>
      </c>
      <c r="N7" s="3" t="n">
        <v>1.273393459231282</v>
      </c>
      <c r="O7" s="2" t="n">
        <v>841335.5097227247</v>
      </c>
      <c r="P7" s="2" t="n">
        <v>3033058.840045188</v>
      </c>
      <c r="Q7" t="inlineStr"/>
      <c r="R7" s="3" t="n">
        <v>25.83421356500761</v>
      </c>
      <c r="S7" s="3" t="n">
        <v>5.933550305389135</v>
      </c>
      <c r="T7" s="3" t="n">
        <v>88.53293462516521</v>
      </c>
      <c r="U7" s="3" t="n">
        <v>112.5712685075996</v>
      </c>
      <c r="V7" t="inlineStr"/>
    </row>
    <row r="8">
      <c r="A8" t="inlineStr">
        <is>
          <t>2011Q3</t>
        </is>
      </c>
      <c r="B8" s="2" t="n">
        <v>2716398</v>
      </c>
      <c r="C8" t="inlineStr"/>
      <c r="D8" t="inlineStr"/>
      <c r="E8" t="inlineStr"/>
      <c r="F8" t="inlineStr"/>
      <c r="G8" t="inlineStr"/>
      <c r="H8" t="inlineStr"/>
      <c r="I8" s="3" t="n">
        <v>17.56402860074726</v>
      </c>
      <c r="J8" s="3" t="n">
        <v>8.16</v>
      </c>
      <c r="K8" s="3" t="n">
        <v>17.56127191878514</v>
      </c>
      <c r="L8" s="2" t="n">
        <v>706914.029071626</v>
      </c>
      <c r="M8" s="2" t="n">
        <v>2547506.640120915</v>
      </c>
      <c r="N8" s="3" t="n">
        <v>1.273393459231282</v>
      </c>
      <c r="O8" s="2" t="n">
        <v>900179.7008586408</v>
      </c>
      <c r="P8" s="2" t="n">
        <v>3241505.872005178</v>
      </c>
      <c r="Q8" t="inlineStr"/>
      <c r="R8" s="3" t="n">
        <v>30.13404474475259</v>
      </c>
      <c r="S8" s="3" t="n">
        <v>6.211869919892998</v>
      </c>
      <c r="T8" s="3" t="n">
        <v>83.80049604289783</v>
      </c>
      <c r="U8" s="3" t="n">
        <v>106.6296729994419</v>
      </c>
      <c r="V8" t="inlineStr"/>
    </row>
    <row r="9">
      <c r="A9" t="inlineStr">
        <is>
          <t>2011Q4</t>
        </is>
      </c>
      <c r="B9" s="2" t="n">
        <v>2785213</v>
      </c>
      <c r="C9" t="inlineStr"/>
      <c r="D9" t="inlineStr"/>
      <c r="E9" t="inlineStr"/>
      <c r="F9" t="inlineStr"/>
      <c r="G9" t="inlineStr"/>
      <c r="H9" t="inlineStr"/>
      <c r="I9" s="3" t="n">
        <v>10.90002122268972</v>
      </c>
      <c r="J9" s="3" t="n">
        <v>10.9</v>
      </c>
      <c r="K9" s="3" t="n">
        <v>10.9</v>
      </c>
      <c r="L9" s="2" t="n">
        <v>905862.720191807</v>
      </c>
      <c r="M9" s="2" t="n">
        <v>2779880.23602457</v>
      </c>
      <c r="N9" s="3" t="n">
        <v>1.273393459231282</v>
      </c>
      <c r="O9" s="2" t="n">
        <v>1153519.662853704</v>
      </c>
      <c r="P9" s="2" t="n">
        <v>3539881.31</v>
      </c>
      <c r="Q9" s="2" t="n">
        <v>3539881.31</v>
      </c>
      <c r="R9" s="3" t="n">
        <v>34.89182635175485</v>
      </c>
      <c r="S9" s="3" t="n">
        <v>6.713868923083144</v>
      </c>
      <c r="T9" s="3" t="n">
        <v>78.68097136850049</v>
      </c>
      <c r="U9" s="3" t="n">
        <v>100.1918343066123</v>
      </c>
      <c r="V9" s="3" t="n">
        <v>12</v>
      </c>
    </row>
    <row r="10">
      <c r="A10" t="inlineStr">
        <is>
          <t>2012Q1</t>
        </is>
      </c>
      <c r="B10" s="2" t="n">
        <v>2813333</v>
      </c>
      <c r="C10" t="inlineStr"/>
      <c r="D10" t="inlineStr"/>
      <c r="E10" t="inlineStr"/>
      <c r="F10" t="inlineStr"/>
      <c r="G10" t="inlineStr"/>
      <c r="H10" t="inlineStr"/>
      <c r="I10" s="3" t="n">
        <v>6.685422572918998</v>
      </c>
      <c r="J10" s="3" t="n">
        <v>1.01</v>
      </c>
      <c r="K10" s="3" t="n">
        <v>6.685799999999986</v>
      </c>
      <c r="L10" s="2" t="n">
        <v>626499.060668629</v>
      </c>
      <c r="M10" s="2" t="n">
        <v>2899979.305480578</v>
      </c>
      <c r="N10" s="3" t="n">
        <v>1.255234533647078</v>
      </c>
      <c r="O10" s="2" t="n">
        <v>786403.2562487193</v>
      </c>
      <c r="P10" s="2" t="n">
        <v>3681438.129683789</v>
      </c>
      <c r="Q10" t="inlineStr"/>
      <c r="R10" s="3" t="n">
        <v>21.95202014883673</v>
      </c>
      <c r="S10" s="3" t="n">
        <v>4.745035679993181</v>
      </c>
      <c r="T10" s="3" t="n">
        <v>76.41940189937802</v>
      </c>
      <c r="U10" s="3" t="n">
        <v>97.01217504149675</v>
      </c>
      <c r="V10" t="inlineStr"/>
    </row>
    <row r="11">
      <c r="A11" t="inlineStr">
        <is>
          <t>2012Q2</t>
        </is>
      </c>
      <c r="B11" s="2" t="n">
        <v>2887697</v>
      </c>
      <c r="C11" t="inlineStr"/>
      <c r="D11" t="inlineStr"/>
      <c r="E11" t="inlineStr"/>
      <c r="F11" t="inlineStr"/>
      <c r="G11" t="inlineStr"/>
      <c r="H11" t="inlineStr"/>
      <c r="I11" s="3" t="n">
        <v>7.538983247779729</v>
      </c>
      <c r="J11" s="3" t="n">
        <v>3.68</v>
      </c>
      <c r="K11" s="3" t="n">
        <v>6.336213991769535</v>
      </c>
      <c r="L11" s="2" t="n">
        <v>761496.685461896</v>
      </c>
      <c r="M11" s="2" t="n">
        <v>3000772.495393958</v>
      </c>
      <c r="N11" s="3" t="n">
        <v>1.255234533647078</v>
      </c>
      <c r="O11" s="2" t="n">
        <v>955856.9368495591</v>
      </c>
      <c r="P11" s="2" t="n">
        <v>3795959.556810623</v>
      </c>
      <c r="Q11" t="inlineStr"/>
      <c r="R11" s="3" t="n">
        <v>13.61186183197911</v>
      </c>
      <c r="S11" s="3" t="n">
        <v>5.078903478463248</v>
      </c>
      <c r="T11" s="3" t="n">
        <v>76.07291270579954</v>
      </c>
      <c r="U11" s="3" t="n">
        <v>96.2317871292301</v>
      </c>
      <c r="V11" t="inlineStr"/>
    </row>
    <row r="12">
      <c r="A12" t="inlineStr">
        <is>
          <t>2012Q3</t>
        </is>
      </c>
      <c r="B12" s="2" t="n">
        <v>2915695</v>
      </c>
      <c r="C12" t="inlineStr"/>
      <c r="D12" t="inlineStr"/>
      <c r="E12" t="inlineStr"/>
      <c r="F12" t="inlineStr"/>
      <c r="G12" t="inlineStr"/>
      <c r="H12" t="inlineStr"/>
      <c r="I12" s="3" t="n">
        <v>7.33681146871703</v>
      </c>
      <c r="J12" s="3" t="n">
        <v>4.68</v>
      </c>
      <c r="K12" s="3" t="n">
        <v>7.331841715976339</v>
      </c>
      <c r="L12" s="2" t="n">
        <v>800620.930280081</v>
      </c>
      <c r="M12" s="2" t="n">
        <v>3094479.396602413</v>
      </c>
      <c r="N12" s="3" t="n">
        <v>1.255234533647078</v>
      </c>
      <c r="O12" s="2" t="n">
        <v>1004967.040048208</v>
      </c>
      <c r="P12" s="2" t="n">
        <v>3900746.89600019</v>
      </c>
      <c r="Q12" t="inlineStr"/>
      <c r="R12" s="3" t="n">
        <v>11.64071341417885</v>
      </c>
      <c r="S12" s="3" t="n">
        <v>5.389018656605393</v>
      </c>
      <c r="T12" s="3" t="n">
        <v>74.74709530602311</v>
      </c>
      <c r="U12" s="3" t="n">
        <v>94.22247254905916</v>
      </c>
      <c r="V12" t="inlineStr"/>
    </row>
    <row r="13">
      <c r="A13" t="inlineStr">
        <is>
          <t>2012Q4</t>
        </is>
      </c>
      <c r="B13" s="2" t="n">
        <v>3090904</v>
      </c>
      <c r="C13" t="inlineStr"/>
      <c r="D13" t="inlineStr"/>
      <c r="E13" t="inlineStr"/>
      <c r="F13" t="inlineStr"/>
      <c r="G13" t="inlineStr"/>
      <c r="H13" t="inlineStr"/>
      <c r="I13" s="3" t="n">
        <v>10.9754981037357</v>
      </c>
      <c r="J13" s="3" t="n">
        <v>10.98</v>
      </c>
      <c r="K13" s="3" t="n">
        <v>10.97999999999999</v>
      </c>
      <c r="L13" s="2" t="n">
        <v>1056802.55067495</v>
      </c>
      <c r="M13" s="2" t="n">
        <v>3245419.227085556</v>
      </c>
      <c r="N13" s="3" t="n">
        <v>1.255234533647078</v>
      </c>
      <c r="O13" s="2" t="n">
        <v>1326535.056853514</v>
      </c>
      <c r="P13" s="2" t="n">
        <v>4073762.29</v>
      </c>
      <c r="Q13" s="2" t="n">
        <v>4073762.29</v>
      </c>
      <c r="R13" s="3" t="n">
        <v>14.99891155490021</v>
      </c>
      <c r="S13" s="3" t="n">
        <v>5.569737739487901</v>
      </c>
      <c r="T13" s="3" t="n">
        <v>75.87345014183437</v>
      </c>
      <c r="U13" s="3" t="n">
        <v>95.23897480498033</v>
      </c>
      <c r="V13" t="inlineStr"/>
    </row>
    <row r="14">
      <c r="A14" t="inlineStr">
        <is>
          <t>2013Q1</t>
        </is>
      </c>
      <c r="B14" s="2" t="n">
        <v>3127145</v>
      </c>
      <c r="C14" t="inlineStr"/>
      <c r="D14" t="inlineStr"/>
      <c r="E14" t="inlineStr"/>
      <c r="F14" t="inlineStr"/>
      <c r="G14" t="inlineStr"/>
      <c r="H14" t="inlineStr"/>
      <c r="I14" s="3" t="n">
        <v>11.15445629792136</v>
      </c>
      <c r="J14" s="3" t="n">
        <v>1.17</v>
      </c>
      <c r="K14" s="3" t="n">
        <v>11.1557924957925</v>
      </c>
      <c r="L14" s="2" t="n">
        <v>683021.723075592</v>
      </c>
      <c r="M14" s="2" t="n">
        <v>3301941.889492519</v>
      </c>
      <c r="N14" s="3" t="n">
        <v>1.248138698869235</v>
      </c>
      <c r="O14" s="2" t="n">
        <v>852505.8447389924</v>
      </c>
      <c r="P14" s="2" t="n">
        <v>4139864.878490273</v>
      </c>
      <c r="Q14" t="inlineStr"/>
      <c r="R14" s="3" t="n">
        <v>8.405686009693557</v>
      </c>
      <c r="S14" s="3" t="n">
        <v>4.760022022764443</v>
      </c>
      <c r="T14" s="3" t="n">
        <v>75.53736877374625</v>
      </c>
      <c r="U14" s="3" t="n">
        <v>94.70623968129905</v>
      </c>
      <c r="V14" t="inlineStr"/>
    </row>
    <row r="15">
      <c r="A15" t="inlineStr">
        <is>
          <t>2013Q2</t>
        </is>
      </c>
      <c r="B15" s="2" t="n">
        <v>3236786</v>
      </c>
      <c r="C15" t="inlineStr"/>
      <c r="D15" t="inlineStr"/>
      <c r="E15" t="inlineStr"/>
      <c r="F15" t="inlineStr"/>
      <c r="G15" t="inlineStr"/>
      <c r="H15" t="inlineStr"/>
      <c r="I15" s="3" t="n">
        <v>12.08883757541044</v>
      </c>
      <c r="J15" s="3" t="n">
        <v>4.72</v>
      </c>
      <c r="K15" s="3" t="n">
        <v>12.09322530864196</v>
      </c>
      <c r="L15" s="2" t="n">
        <v>831081.5089808441</v>
      </c>
      <c r="M15" s="2" t="n">
        <v>3371526.713011467</v>
      </c>
      <c r="N15" s="3" t="n">
        <v>1.248138698869235</v>
      </c>
      <c r="O15" s="2" t="n">
        <v>1037304.993273631</v>
      </c>
      <c r="P15" s="2" t="n">
        <v>4221312.934914345</v>
      </c>
      <c r="Q15" t="inlineStr"/>
      <c r="R15" s="3" t="n">
        <v>8.520946313631361</v>
      </c>
      <c r="S15" s="3" t="n">
        <v>5.003042504021593</v>
      </c>
      <c r="T15" s="3" t="n">
        <v>76.67723407162369</v>
      </c>
      <c r="U15" s="3" t="n">
        <v>96.00356976287708</v>
      </c>
      <c r="V15" t="inlineStr"/>
    </row>
    <row r="16">
      <c r="A16" t="inlineStr">
        <is>
          <t>2013Q3</t>
        </is>
      </c>
      <c r="B16" s="2" t="n">
        <v>3303252</v>
      </c>
      <c r="C16" t="inlineStr"/>
      <c r="D16" t="inlineStr"/>
      <c r="E16" t="inlineStr"/>
      <c r="F16" t="inlineStr"/>
      <c r="G16" t="inlineStr"/>
      <c r="H16" t="inlineStr"/>
      <c r="I16" s="3" t="n">
        <v>13.29209673851346</v>
      </c>
      <c r="J16" s="3" t="n">
        <v>6.87</v>
      </c>
      <c r="K16" s="3" t="n">
        <v>13.30180168131447</v>
      </c>
      <c r="L16" s="2" t="n">
        <v>906776.949887495</v>
      </c>
      <c r="M16" s="2" t="n">
        <v>3477682.732618881</v>
      </c>
      <c r="N16" s="3" t="n">
        <v>1.248138698869235</v>
      </c>
      <c r="O16" s="2" t="n">
        <v>1131783.402397192</v>
      </c>
      <c r="P16" s="2" t="n">
        <v>4348129.29726333</v>
      </c>
      <c r="Q16" t="inlineStr"/>
      <c r="R16" s="3" t="n">
        <v>12.61895736828351</v>
      </c>
      <c r="S16" s="3" t="n">
        <v>5.544839686894076</v>
      </c>
      <c r="T16" s="3" t="n">
        <v>75.96949801099601</v>
      </c>
      <c r="U16" s="3" t="n">
        <v>94.98428275291447</v>
      </c>
      <c r="V16" t="inlineStr"/>
    </row>
    <row r="17">
      <c r="A17" t="inlineStr">
        <is>
          <t>2013Q4</t>
        </is>
      </c>
      <c r="B17" s="2" t="n">
        <v>3477985</v>
      </c>
      <c r="C17" s="2" t="n">
        <v>366131</v>
      </c>
      <c r="D17" s="2" t="n">
        <v>969074</v>
      </c>
      <c r="E17" s="2" t="n">
        <v>344203</v>
      </c>
      <c r="F17" s="2" t="n">
        <v>672060</v>
      </c>
      <c r="G17" s="2" t="n">
        <v>126795</v>
      </c>
      <c r="H17" s="2" t="n">
        <v>999774</v>
      </c>
      <c r="I17" s="3" t="n">
        <v>12.52322945002497</v>
      </c>
      <c r="J17" s="3" t="n">
        <v>12.52</v>
      </c>
      <c r="K17" s="3" t="n">
        <v>12.52</v>
      </c>
      <c r="L17" s="2" t="n">
        <v>1163381.41017957</v>
      </c>
      <c r="M17" s="2" t="n">
        <v>3584261.592123501</v>
      </c>
      <c r="N17" s="3" t="n">
        <v>1.248138698869235</v>
      </c>
      <c r="O17" s="2" t="n">
        <v>1452061.359590185</v>
      </c>
      <c r="P17" s="2" t="n">
        <v>4473655.6</v>
      </c>
      <c r="Q17" s="2" t="n">
        <v>4473655.6</v>
      </c>
      <c r="R17" s="3" t="n">
        <v>9.462720347128538</v>
      </c>
      <c r="S17" s="3" t="n">
        <v>6.046188366930738</v>
      </c>
      <c r="T17" s="3" t="n">
        <v>77.7436913114188</v>
      </c>
      <c r="U17" s="3" t="n">
        <v>97.03490971872571</v>
      </c>
      <c r="V17" s="3" t="n">
        <v>8.83</v>
      </c>
    </row>
    <row r="18">
      <c r="A18" t="inlineStr">
        <is>
          <t>2014Q1</t>
        </is>
      </c>
      <c r="B18" s="2" t="n">
        <v>3496178</v>
      </c>
      <c r="C18" t="inlineStr"/>
      <c r="D18" t="inlineStr"/>
      <c r="E18" t="inlineStr"/>
      <c r="F18" t="inlineStr"/>
      <c r="G18" t="inlineStr"/>
      <c r="H18" t="inlineStr"/>
      <c r="I18" s="3" t="n">
        <v>11.80095582392246</v>
      </c>
      <c r="J18" s="3" t="n">
        <v>0.52</v>
      </c>
      <c r="K18" s="3" t="n">
        <v>11.79707818523277</v>
      </c>
      <c r="L18" s="2" t="n">
        <v>757569.647135875</v>
      </c>
      <c r="M18" s="2" t="n">
        <v>3658809.516183784</v>
      </c>
      <c r="N18" s="3" t="n">
        <v>1.253735935431047</v>
      </c>
      <c r="O18" s="2" t="n">
        <v>949792.2902060644</v>
      </c>
      <c r="P18" s="2" t="n">
        <v>4570942.045467072</v>
      </c>
      <c r="Q18" t="inlineStr"/>
      <c r="R18" s="3" t="n">
        <v>11.4118215220985</v>
      </c>
      <c r="S18" s="3" t="n">
        <v>5.064212270813018</v>
      </c>
      <c r="T18" s="3" t="n">
        <v>76.4870340779556</v>
      </c>
      <c r="U18" s="3" t="n">
        <v>95.55507015425574</v>
      </c>
      <c r="V18" t="inlineStr"/>
    </row>
    <row r="19">
      <c r="A19" t="inlineStr">
        <is>
          <t>2014Q2</t>
        </is>
      </c>
      <c r="B19" s="2" t="n">
        <v>3607354</v>
      </c>
      <c r="C19" t="inlineStr"/>
      <c r="D19" t="inlineStr"/>
      <c r="E19" t="inlineStr"/>
      <c r="F19" t="inlineStr"/>
      <c r="G19" t="inlineStr"/>
      <c r="H19" t="inlineStr"/>
      <c r="I19" s="3" t="n">
        <v>11.44864071952858</v>
      </c>
      <c r="J19" s="3" t="n">
        <v>3.72</v>
      </c>
      <c r="K19" s="3" t="n">
        <v>11.44551566080976</v>
      </c>
      <c r="L19" s="2" t="n">
        <v>911877.454436324</v>
      </c>
      <c r="M19" s="2" t="n">
        <v>3739605.461639264</v>
      </c>
      <c r="N19" s="3" t="n">
        <v>1.253735935431047</v>
      </c>
      <c r="O19" s="2" t="n">
        <v>1143253.533336206</v>
      </c>
      <c r="P19" s="2" t="n">
        <v>4676890.585529647</v>
      </c>
      <c r="Q19" t="inlineStr"/>
      <c r="R19" s="3" t="n">
        <v>10.21382724941988</v>
      </c>
      <c r="S19" s="3" t="n">
        <v>5.335258381640817</v>
      </c>
      <c r="T19" s="3" t="n">
        <v>77.1314601876981</v>
      </c>
      <c r="U19" s="3" t="n">
        <v>96.46349159033234</v>
      </c>
      <c r="V19" t="inlineStr"/>
    </row>
    <row r="20">
      <c r="A20" t="inlineStr">
        <is>
          <t>2014Q3</t>
        </is>
      </c>
      <c r="B20" s="2" t="n">
        <v>3734181</v>
      </c>
      <c r="C20" t="inlineStr"/>
      <c r="D20" t="inlineStr"/>
      <c r="E20" t="inlineStr"/>
      <c r="F20" t="inlineStr"/>
      <c r="G20" t="inlineStr"/>
      <c r="H20" t="inlineStr"/>
      <c r="I20" s="3" t="n">
        <v>13.04559870091655</v>
      </c>
      <c r="J20" s="3" t="n">
        <v>7.37</v>
      </c>
      <c r="K20" s="3" t="n">
        <v>13.0464339852157</v>
      </c>
      <c r="L20" s="2" t="n">
        <v>1002050.49980389</v>
      </c>
      <c r="M20" s="2" t="n">
        <v>3834879.011555659</v>
      </c>
      <c r="N20" s="3" t="n">
        <v>1.253735935431047</v>
      </c>
      <c r="O20" s="2" t="n">
        <v>1256306.720720778</v>
      </c>
      <c r="P20" s="2" t="n">
        <v>4801413.903853234</v>
      </c>
      <c r="Q20" t="inlineStr"/>
      <c r="R20" s="3" t="n">
        <v>11.00239834405046</v>
      </c>
      <c r="S20" s="3" t="n">
        <v>6.071534295889025</v>
      </c>
      <c r="T20" s="3" t="n">
        <v>77.7725285671215</v>
      </c>
      <c r="U20" s="3" t="n">
        <v>97.37415414535309</v>
      </c>
      <c r="V20" t="inlineStr"/>
    </row>
    <row r="21">
      <c r="A21" t="inlineStr">
        <is>
          <t>2014Q4</t>
        </is>
      </c>
      <c r="B21" s="2" t="n">
        <v>3970548</v>
      </c>
      <c r="C21" s="2" t="n">
        <v>391174</v>
      </c>
      <c r="D21" s="2" t="n">
        <v>1021792</v>
      </c>
      <c r="E21" s="2" t="n">
        <v>380413</v>
      </c>
      <c r="F21" s="2" t="n">
        <v>744105</v>
      </c>
      <c r="G21" s="2" t="n">
        <v>134758</v>
      </c>
      <c r="H21" s="2" t="n">
        <v>1298306</v>
      </c>
      <c r="I21" s="3" t="n">
        <v>14.16230949817208</v>
      </c>
      <c r="J21" s="3" t="n">
        <v>14.16</v>
      </c>
      <c r="K21" s="3" t="n">
        <v>14.15999999999999</v>
      </c>
      <c r="L21" s="2" t="n">
        <v>1266358.48177319</v>
      </c>
      <c r="M21" s="2" t="n">
        <v>3937856.083149279</v>
      </c>
      <c r="N21" s="3" t="n">
        <v>1.253735935431047</v>
      </c>
      <c r="O21" s="2" t="n">
        <v>1587679.135736951</v>
      </c>
      <c r="P21" s="2" t="n">
        <v>4937031.68</v>
      </c>
      <c r="Q21" s="2" t="n">
        <v>4937031.68</v>
      </c>
      <c r="R21" s="3" t="n">
        <v>9.33967254559005</v>
      </c>
      <c r="S21" s="3" t="n">
        <v>6.957644212321945</v>
      </c>
      <c r="T21" s="3" t="n">
        <v>80.42379019127543</v>
      </c>
      <c r="U21" s="3" t="n">
        <v>100.8301958263689</v>
      </c>
      <c r="V21" s="3" t="n">
        <v>12.62</v>
      </c>
    </row>
    <row r="22">
      <c r="A22" t="inlineStr">
        <is>
          <t>2015Q1</t>
        </is>
      </c>
      <c r="B22" s="2" t="n">
        <v>4075612</v>
      </c>
      <c r="C22" s="2" t="n">
        <v>403280</v>
      </c>
      <c r="D22" s="2" t="n">
        <v>1045510</v>
      </c>
      <c r="E22" s="2" t="n">
        <v>390646</v>
      </c>
      <c r="F22" s="2" t="n">
        <v>754047</v>
      </c>
      <c r="G22" s="2" t="n">
        <v>141249</v>
      </c>
      <c r="H22" s="2" t="n">
        <v>1340881</v>
      </c>
      <c r="I22" s="3" t="n">
        <v>16.57335524678663</v>
      </c>
      <c r="J22" s="3" t="n">
        <v>2.65</v>
      </c>
      <c r="K22" s="3" t="n">
        <v>16.57902904894546</v>
      </c>
      <c r="L22" s="2" t="n">
        <v>809613.341162286</v>
      </c>
      <c r="M22" s="2" t="n">
        <v>3989899.77717569</v>
      </c>
      <c r="N22" s="3" t="n">
        <v>1.238133605988928</v>
      </c>
      <c r="O22" s="2" t="n">
        <v>1002409.485550005</v>
      </c>
      <c r="P22" s="2" t="n">
        <v>4989648.875343941</v>
      </c>
      <c r="Q22" t="inlineStr"/>
      <c r="R22" s="3" t="n">
        <v>5.539863387659771</v>
      </c>
      <c r="S22" s="3" t="n">
        <v>6.121524291742531</v>
      </c>
      <c r="T22" s="3" t="n">
        <v>81.68133874388234</v>
      </c>
      <c r="U22" s="3" t="n">
        <v>102.1482299709539</v>
      </c>
      <c r="V22" t="inlineStr"/>
    </row>
    <row r="23">
      <c r="A23" t="inlineStr">
        <is>
          <t>2015Q2</t>
        </is>
      </c>
      <c r="B23" s="2" t="n">
        <v>4282604</v>
      </c>
      <c r="C23" s="2" t="n">
        <v>425761</v>
      </c>
      <c r="D23" s="2" t="n">
        <v>1069133</v>
      </c>
      <c r="E23" s="2" t="n">
        <v>417437</v>
      </c>
      <c r="F23" s="2" t="n">
        <v>781885</v>
      </c>
      <c r="G23" s="2" t="n">
        <v>145758</v>
      </c>
      <c r="H23" s="2" t="n">
        <v>1442630</v>
      </c>
      <c r="I23" s="3" t="n">
        <v>18.71870628721217</v>
      </c>
      <c r="J23" s="3" t="n">
        <v>7.86</v>
      </c>
      <c r="K23" s="3" t="n">
        <v>18.71671423062091</v>
      </c>
      <c r="L23" s="2" t="n">
        <v>970387.610186319</v>
      </c>
      <c r="M23" s="2" t="n">
        <v>4048409.932925685</v>
      </c>
      <c r="N23" s="3" t="n">
        <v>1.238133605988928</v>
      </c>
      <c r="O23" s="2" t="n">
        <v>1201469.511006965</v>
      </c>
      <c r="P23" s="2" t="n">
        <v>5047864.8530147</v>
      </c>
      <c r="Q23" t="inlineStr"/>
      <c r="R23" s="3" t="n">
        <v>5.092131882669526</v>
      </c>
      <c r="S23" s="3" t="n">
        <v>6.470868101732785</v>
      </c>
      <c r="T23" s="3" t="n">
        <v>84.83991003527622</v>
      </c>
      <c r="U23" s="3" t="n">
        <v>105.7848407388199</v>
      </c>
      <c r="V23" t="inlineStr"/>
    </row>
    <row r="24">
      <c r="A24" t="inlineStr">
        <is>
          <t>2015Q3</t>
        </is>
      </c>
      <c r="B24" s="2" t="n">
        <v>4451893</v>
      </c>
      <c r="C24" s="2" t="n">
        <v>443692</v>
      </c>
      <c r="D24" s="2" t="n">
        <v>1087130</v>
      </c>
      <c r="E24" s="2" t="n">
        <v>438101</v>
      </c>
      <c r="F24" s="2" t="n">
        <v>790550</v>
      </c>
      <c r="G24" s="2" t="n">
        <v>149371</v>
      </c>
      <c r="H24" s="2" t="n">
        <v>1543048</v>
      </c>
      <c r="I24" s="3" t="n">
        <v>19.22006458712098</v>
      </c>
      <c r="J24" s="3" t="n">
        <v>12.12</v>
      </c>
      <c r="K24" s="3" t="n">
        <v>19.21038651392379</v>
      </c>
      <c r="L24" s="2" t="n">
        <v>1072329.71369734</v>
      </c>
      <c r="M24" s="2" t="n">
        <v>4118689.146819135</v>
      </c>
      <c r="N24" s="3" t="n">
        <v>1.238133605988928</v>
      </c>
      <c r="O24" s="2" t="n">
        <v>1327687.455229162</v>
      </c>
      <c r="P24" s="2" t="n">
        <v>5119245.587523084</v>
      </c>
      <c r="Q24" t="inlineStr"/>
      <c r="R24" s="3" t="n">
        <v>5.681791980499096</v>
      </c>
      <c r="S24" s="3" t="n">
        <v>6.87446973189878</v>
      </c>
      <c r="T24" s="3" t="n">
        <v>86.9638489477904</v>
      </c>
      <c r="U24" s="3" t="n">
        <v>108.0900461603954</v>
      </c>
      <c r="V24" t="inlineStr"/>
    </row>
    <row r="25">
      <c r="A25" t="inlineStr">
        <is>
          <t>2015Q4</t>
        </is>
      </c>
      <c r="B25" s="2" t="n">
        <v>4655890</v>
      </c>
      <c r="C25" s="2" t="n">
        <v>465462</v>
      </c>
      <c r="D25" s="2" t="n">
        <v>1084472</v>
      </c>
      <c r="E25" s="2" t="n">
        <v>452533</v>
      </c>
      <c r="F25" s="2" t="n">
        <v>826852</v>
      </c>
      <c r="G25" s="2" t="n">
        <v>152831</v>
      </c>
      <c r="H25" s="2" t="n">
        <v>1673626</v>
      </c>
      <c r="I25" s="3" t="n">
        <v>17.26064009300479</v>
      </c>
      <c r="J25" s="3" t="n">
        <v>17.26</v>
      </c>
      <c r="K25" s="3" t="n">
        <v>17.26000000000001</v>
      </c>
      <c r="L25" s="2" t="n">
        <v>1340531.64390783</v>
      </c>
      <c r="M25" s="2" t="n">
        <v>4192862.308953775</v>
      </c>
      <c r="N25" s="3" t="n">
        <v>1.238133605988928</v>
      </c>
      <c r="O25" s="2" t="n">
        <v>1659757.278213867</v>
      </c>
      <c r="P25" s="2" t="n">
        <v>5191323.73</v>
      </c>
      <c r="Q25" s="2" t="n">
        <v>5191323.73</v>
      </c>
      <c r="R25" s="3" t="n">
        <v>4.539843149318701</v>
      </c>
      <c r="S25" s="3" t="n">
        <v>7.008291742576467</v>
      </c>
      <c r="T25" s="3" t="n">
        <v>89.68598843285776</v>
      </c>
      <c r="U25" s="3" t="n">
        <v>111.0432362650555</v>
      </c>
      <c r="V25" s="3" t="n">
        <v>17.02</v>
      </c>
    </row>
    <row r="26">
      <c r="A26" t="inlineStr">
        <is>
          <t>2016Q1</t>
        </is>
      </c>
      <c r="B26" s="2" t="n">
        <v>4797202</v>
      </c>
      <c r="C26" t="inlineStr"/>
      <c r="D26" t="inlineStr"/>
      <c r="E26" t="inlineStr"/>
      <c r="F26" t="inlineStr"/>
      <c r="G26" t="inlineStr"/>
      <c r="H26" t="inlineStr"/>
      <c r="I26" s="3" t="n">
        <v>17.70507104209136</v>
      </c>
      <c r="J26" s="3" t="n">
        <v>3.04</v>
      </c>
      <c r="K26" s="3" t="n">
        <v>17.705508037019</v>
      </c>
      <c r="L26" s="2" t="n">
        <v>850461.33583428</v>
      </c>
      <c r="M26" s="2" t="n">
        <v>4233710.303625769</v>
      </c>
      <c r="N26" s="3" t="n">
        <v>1.252439576850163</v>
      </c>
      <c r="O26" s="2" t="n">
        <v>1065151.43557971</v>
      </c>
      <c r="P26" s="2" t="n">
        <v>5254065.680029705</v>
      </c>
      <c r="Q26" t="inlineStr"/>
      <c r="R26" s="3" t="n">
        <v>6.259113758812762</v>
      </c>
      <c r="S26" s="3" t="n">
        <v>5.48117509451298</v>
      </c>
      <c r="T26" s="3" t="n">
        <v>91.30456854077389</v>
      </c>
      <c r="U26" s="3" t="n">
        <v>113.3096422750431</v>
      </c>
      <c r="V26" t="inlineStr"/>
    </row>
    <row r="27">
      <c r="A27" t="inlineStr">
        <is>
          <t>2016Q2</t>
        </is>
      </c>
      <c r="B27" s="2" t="n">
        <v>5037936</v>
      </c>
      <c r="C27" t="inlineStr"/>
      <c r="D27" t="inlineStr"/>
      <c r="E27" t="inlineStr"/>
      <c r="F27" t="inlineStr"/>
      <c r="G27" t="inlineStr"/>
      <c r="H27" t="inlineStr"/>
      <c r="I27" s="3" t="n">
        <v>17.63721324689371</v>
      </c>
      <c r="J27" s="3" t="n">
        <v>8.210000000000001</v>
      </c>
      <c r="K27" s="3" t="n">
        <v>17.64050250324498</v>
      </c>
      <c r="L27" s="2" t="n">
        <v>1031489.15748374</v>
      </c>
      <c r="M27" s="2" t="n">
        <v>4294811.85092319</v>
      </c>
      <c r="N27" s="3" t="n">
        <v>1.252439576850163</v>
      </c>
      <c r="O27" s="2" t="n">
        <v>1291877.843924467</v>
      </c>
      <c r="P27" s="2" t="n">
        <v>5344474.012947206</v>
      </c>
      <c r="Q27" t="inlineStr"/>
      <c r="R27" s="3" t="n">
        <v>7.524812913623524</v>
      </c>
      <c r="S27" s="3" t="n">
        <v>5.776206418629015</v>
      </c>
      <c r="T27" s="3" t="n">
        <v>94.26439323674126</v>
      </c>
      <c r="U27" s="3" t="n">
        <v>117.3028336251115</v>
      </c>
      <c r="V27" t="inlineStr"/>
    </row>
    <row r="28">
      <c r="A28" t="inlineStr">
        <is>
          <t>2016Q3</t>
        </is>
      </c>
      <c r="B28" s="2" t="n">
        <v>5198026</v>
      </c>
      <c r="C28" t="inlineStr"/>
      <c r="D28" t="inlineStr"/>
      <c r="E28" t="inlineStr"/>
      <c r="F28" t="inlineStr"/>
      <c r="G28" t="inlineStr"/>
      <c r="H28" t="inlineStr"/>
      <c r="I28" s="3" t="n">
        <v>16.75990415762463</v>
      </c>
      <c r="J28" s="3" t="n">
        <v>11.64</v>
      </c>
      <c r="K28" s="3" t="n">
        <v>16.75799500535142</v>
      </c>
      <c r="L28" s="2" t="n">
        <v>1158096.05418672</v>
      </c>
      <c r="M28" s="2" t="n">
        <v>4380578.19141257</v>
      </c>
      <c r="N28" s="3" t="n">
        <v>1.252439576850163</v>
      </c>
      <c r="O28" s="2" t="n">
        <v>1450445.332057459</v>
      </c>
      <c r="P28" s="2" t="n">
        <v>5467231.889775503</v>
      </c>
      <c r="Q28" t="inlineStr"/>
      <c r="R28" s="3" t="n">
        <v>9.24599207025787</v>
      </c>
      <c r="S28" s="3" t="n">
        <v>6.561103488374287</v>
      </c>
      <c r="T28" s="3" t="n">
        <v>95.07601112952688</v>
      </c>
      <c r="U28" s="3" t="n">
        <v>118.6607286268718</v>
      </c>
      <c r="V28" t="inlineStr"/>
    </row>
    <row r="29">
      <c r="A29" t="inlineStr">
        <is>
          <t>2016Q4</t>
        </is>
      </c>
      <c r="B29" s="2" t="n">
        <v>5505406</v>
      </c>
      <c r="C29" s="2" t="n">
        <v>558834</v>
      </c>
      <c r="D29" s="2" t="n">
        <v>1202354</v>
      </c>
      <c r="E29" s="2" t="n">
        <v>507923</v>
      </c>
      <c r="F29" s="2" t="n">
        <v>1002972</v>
      </c>
      <c r="G29" s="2" t="n">
        <v>191834</v>
      </c>
      <c r="H29" s="2" t="n">
        <v>2041489</v>
      </c>
      <c r="I29" s="3" t="n">
        <v>18.24604962746113</v>
      </c>
      <c r="J29" s="3" t="n">
        <v>18.25</v>
      </c>
      <c r="K29" s="3" t="n">
        <v>18.25000000000001</v>
      </c>
      <c r="L29" s="2" t="n">
        <v>1462686.4419644</v>
      </c>
      <c r="M29" s="2" t="n">
        <v>4502732.98946914</v>
      </c>
      <c r="N29" s="3" t="n">
        <v>1.252439576850163</v>
      </c>
      <c r="O29" s="2" t="n">
        <v>1831926.388438364</v>
      </c>
      <c r="P29" s="2" t="n">
        <v>5639401</v>
      </c>
      <c r="Q29" s="2" t="n">
        <v>5639401</v>
      </c>
      <c r="R29" s="3" t="n">
        <v>10.3731498866976</v>
      </c>
      <c r="S29" s="3" t="n">
        <v>6.682952290247091</v>
      </c>
      <c r="T29" s="3" t="n">
        <v>97.62394977764482</v>
      </c>
      <c r="U29" s="3" t="n">
        <v>122.2680983499551</v>
      </c>
      <c r="V29" s="3" t="n">
        <v>16.46</v>
      </c>
    </row>
    <row r="30">
      <c r="A30" t="inlineStr">
        <is>
          <t>2017Q1</t>
        </is>
      </c>
      <c r="B30" s="2" t="n">
        <v>5746188</v>
      </c>
      <c r="C30" t="inlineStr"/>
      <c r="D30" t="inlineStr"/>
      <c r="E30" t="inlineStr"/>
      <c r="F30" t="inlineStr"/>
      <c r="G30" t="inlineStr"/>
      <c r="H30" t="inlineStr"/>
      <c r="I30" s="3" t="n">
        <v>19.78207296670018</v>
      </c>
      <c r="J30" s="3" t="n">
        <v>4.37</v>
      </c>
      <c r="K30" s="3" t="n">
        <v>19.7763247282609</v>
      </c>
      <c r="L30" s="2" t="n">
        <v>931830.625326735</v>
      </c>
      <c r="M30" s="2" t="n">
        <v>4584102.278961595</v>
      </c>
      <c r="N30" s="3" t="n">
        <v>1.257278339817366</v>
      </c>
      <c r="O30" s="2" t="n">
        <v>1171570.461601775</v>
      </c>
      <c r="P30" s="2" t="n">
        <v>5745820.026022065</v>
      </c>
      <c r="Q30" t="inlineStr"/>
      <c r="R30" s="3" t="n">
        <v>9.990976162384513</v>
      </c>
      <c r="S30" s="3" t="n">
        <v>5.2</v>
      </c>
      <c r="T30" s="3" t="n">
        <v>100.0064042029905</v>
      </c>
      <c r="U30" s="3" t="n">
        <v>125.3503445237623</v>
      </c>
      <c r="V30" t="inlineStr"/>
    </row>
    <row r="31">
      <c r="A31" t="inlineStr">
        <is>
          <t>2017Q2</t>
        </is>
      </c>
      <c r="B31" s="2" t="n">
        <v>6001383</v>
      </c>
      <c r="C31" t="inlineStr"/>
      <c r="D31" t="inlineStr"/>
      <c r="E31" t="inlineStr"/>
      <c r="F31" t="inlineStr"/>
      <c r="G31" t="inlineStr"/>
      <c r="H31" t="inlineStr"/>
      <c r="I31" s="3" t="n">
        <v>19.12384357403507</v>
      </c>
      <c r="J31" s="3" t="n">
        <v>9.01</v>
      </c>
      <c r="K31" s="3" t="n">
        <v>19.12422604195547</v>
      </c>
      <c r="L31" s="2" t="n">
        <v>1129087.7382515</v>
      </c>
      <c r="M31" s="2" t="n">
        <v>4681700.859729355</v>
      </c>
      <c r="N31" s="3" t="n">
        <v>1.257278339817366</v>
      </c>
      <c r="O31" s="2" t="n">
        <v>1419577.557056991</v>
      </c>
      <c r="P31" s="2" t="n">
        <v>5873519.739154589</v>
      </c>
      <c r="Q31" t="inlineStr"/>
      <c r="R31" s="3" t="n">
        <v>9.884813315212359</v>
      </c>
      <c r="S31" s="3" t="n">
        <v>6.4</v>
      </c>
      <c r="T31" s="3" t="n">
        <v>102.1769444306629</v>
      </c>
      <c r="U31" s="3" t="n">
        <v>128.188091888189</v>
      </c>
      <c r="V31" t="inlineStr"/>
    </row>
    <row r="32">
      <c r="A32" t="inlineStr">
        <is>
          <t>2017Q3</t>
        </is>
      </c>
      <c r="B32" s="2" t="n">
        <v>6177691</v>
      </c>
      <c r="C32" t="inlineStr"/>
      <c r="D32" t="inlineStr"/>
      <c r="E32" t="inlineStr"/>
      <c r="F32" t="inlineStr"/>
      <c r="G32" t="inlineStr"/>
      <c r="H32" t="inlineStr"/>
      <c r="I32" s="3" t="n">
        <v>18.84686609878443</v>
      </c>
      <c r="J32" s="3" t="n">
        <v>12.21</v>
      </c>
      <c r="K32" s="3" t="n">
        <v>18.85374865639557</v>
      </c>
      <c r="L32" s="2" t="n">
        <v>1270212.1234771</v>
      </c>
      <c r="M32" s="2" t="n">
        <v>4793816.929019735</v>
      </c>
      <c r="N32" s="3" t="n">
        <v>1.257278339817366</v>
      </c>
      <c r="O32" s="2" t="n">
        <v>1597010.189821179</v>
      </c>
      <c r="P32" s="2" t="n">
        <v>6020084.59691831</v>
      </c>
      <c r="Q32" t="inlineStr"/>
      <c r="R32" s="3" t="n">
        <v>10.10481777729724</v>
      </c>
      <c r="S32" s="3" t="n">
        <v>7.4</v>
      </c>
      <c r="T32" s="3" t="n">
        <v>102.6180097728588</v>
      </c>
      <c r="U32" s="3" t="n">
        <v>128.8678956971193</v>
      </c>
      <c r="V32" t="inlineStr"/>
    </row>
    <row r="33">
      <c r="A33" t="inlineStr">
        <is>
          <t>2017Q4</t>
        </is>
      </c>
      <c r="B33" s="2" t="n">
        <v>6329715</v>
      </c>
      <c r="C33" t="inlineStr"/>
      <c r="D33" t="inlineStr"/>
      <c r="E33" t="inlineStr"/>
      <c r="F33" t="inlineStr"/>
      <c r="G33" t="inlineStr"/>
      <c r="H33" t="inlineStr"/>
      <c r="I33" s="3" t="n">
        <v>14.9727195414834</v>
      </c>
      <c r="J33" s="3" t="n">
        <v>14.97</v>
      </c>
      <c r="K33" s="3" t="n">
        <v>14.97</v>
      </c>
      <c r="L33" s="2" t="n">
        <v>1674845.00037274</v>
      </c>
      <c r="M33" s="2" t="n">
        <v>5005975.487428075</v>
      </c>
      <c r="N33" s="3" t="n">
        <v>1.257278339817366</v>
      </c>
      <c r="O33" s="2" t="n">
        <v>2105746.341520054</v>
      </c>
      <c r="P33" s="2" t="n">
        <v>6293904.550000001</v>
      </c>
      <c r="Q33" s="2" t="n">
        <v>6293904.55</v>
      </c>
      <c r="R33" s="3" t="n">
        <v>14.94710457853656</v>
      </c>
      <c r="S33" s="3" t="n">
        <v>7.7</v>
      </c>
      <c r="T33" s="3" t="n">
        <v>100.5689703381345</v>
      </c>
      <c r="U33" s="3" t="n">
        <v>126.4431880638717</v>
      </c>
      <c r="V33" s="3" t="n">
        <v>16.96</v>
      </c>
    </row>
    <row r="34">
      <c r="A34" t="inlineStr">
        <is>
          <t>2018Q1</t>
        </is>
      </c>
      <c r="B34" s="2" t="n">
        <v>6555278</v>
      </c>
      <c r="C34" s="2" t="n">
        <v>656181</v>
      </c>
      <c r="D34" s="2" t="n">
        <v>1401951</v>
      </c>
      <c r="E34" s="2" t="n">
        <v>647856</v>
      </c>
      <c r="F34" s="2" t="n">
        <v>1315254</v>
      </c>
      <c r="G34" s="2" t="n">
        <v>220556</v>
      </c>
      <c r="H34" s="2" t="n">
        <v>2313480</v>
      </c>
      <c r="I34" s="3" t="n">
        <v>14.08046517099684</v>
      </c>
      <c r="J34" s="3" t="n">
        <v>3.56</v>
      </c>
      <c r="K34" s="3" t="n">
        <v>14.07773498131646</v>
      </c>
      <c r="L34" s="2" t="n">
        <v>1028617.66710662</v>
      </c>
      <c r="M34" s="2" t="n">
        <v>5102762.52920796</v>
      </c>
      <c r="N34" s="3" t="n">
        <v>1.264637754267454</v>
      </c>
      <c r="O34" s="2" t="n">
        <v>1300828.736529544</v>
      </c>
      <c r="P34" s="2" t="n">
        <v>6423162.824927769</v>
      </c>
      <c r="Q34" t="inlineStr"/>
      <c r="R34" s="3" t="n">
        <v>11.03290661246663</v>
      </c>
      <c r="S34" s="3" t="n">
        <v>15.4</v>
      </c>
      <c r="T34" s="3" t="n">
        <v>102.0568554569332</v>
      </c>
      <c r="U34" s="3" t="n">
        <v>128.4652766511848</v>
      </c>
      <c r="V34" t="inlineStr"/>
    </row>
    <row r="35">
      <c r="A35" t="inlineStr">
        <is>
          <t>2018Q2</t>
        </is>
      </c>
      <c r="B35" s="2" t="n">
        <v>6827140.33</v>
      </c>
      <c r="C35" s="2" t="n">
        <v>669758</v>
      </c>
      <c r="D35" s="2" t="n">
        <v>1460883</v>
      </c>
      <c r="E35" s="2" t="n">
        <v>665204</v>
      </c>
      <c r="F35" s="2" t="n">
        <v>1392314</v>
      </c>
      <c r="G35" s="2" t="n">
        <v>222404</v>
      </c>
      <c r="H35" s="2" t="n">
        <v>2416577</v>
      </c>
      <c r="I35" s="3" t="n">
        <v>13.75945061330031</v>
      </c>
      <c r="J35" s="3" t="n">
        <v>7.86</v>
      </c>
      <c r="K35" s="3" t="n">
        <v>13.7571250344005</v>
      </c>
      <c r="L35" s="2" t="n">
        <v>1242437.12667361</v>
      </c>
      <c r="M35" s="2" t="n">
        <v>5216111.91763007</v>
      </c>
      <c r="N35" s="3" t="n">
        <v>1.264637754267454</v>
      </c>
      <c r="O35" s="2" t="n">
        <v>1571232.897695022</v>
      </c>
      <c r="P35" s="2" t="n">
        <v>6574818.1655658</v>
      </c>
      <c r="Q35" t="inlineStr"/>
      <c r="R35" s="3" t="n">
        <v>10.68313174466051</v>
      </c>
      <c r="S35" s="3" t="n">
        <v>6.7</v>
      </c>
      <c r="T35" s="3" t="n">
        <v>103.8377055924631</v>
      </c>
      <c r="U35" s="3" t="n">
        <v>130.885618211618</v>
      </c>
      <c r="V35" t="inlineStr"/>
    </row>
    <row r="36">
      <c r="A36" t="inlineStr">
        <is>
          <t>2018Q3</t>
        </is>
      </c>
      <c r="B36" s="2" t="n">
        <v>6985654</v>
      </c>
      <c r="C36" s="2" t="n">
        <v>665806</v>
      </c>
      <c r="D36" s="2" t="n">
        <v>1439155</v>
      </c>
      <c r="E36" s="2" t="n">
        <v>682968</v>
      </c>
      <c r="F36" s="2" t="n">
        <v>1492040</v>
      </c>
      <c r="G36" s="2" t="n">
        <v>230347</v>
      </c>
      <c r="H36" s="2" t="n">
        <v>2475338</v>
      </c>
      <c r="I36" s="3" t="n">
        <v>13.07872148347984</v>
      </c>
      <c r="J36" s="3" t="n">
        <v>10.36</v>
      </c>
      <c r="K36" s="3" t="n">
        <v>13.07449603422153</v>
      </c>
      <c r="L36" s="2" t="n">
        <v>1412284.75391043</v>
      </c>
      <c r="M36" s="2" t="n">
        <v>5358184.548063399</v>
      </c>
      <c r="N36" s="3" t="n">
        <v>1.264637754267454</v>
      </c>
      <c r="O36" s="2" t="n">
        <v>1786028.61957145</v>
      </c>
      <c r="P36" s="2" t="n">
        <v>6763836.595316071</v>
      </c>
      <c r="Q36" t="inlineStr"/>
      <c r="R36" s="3" t="n">
        <v>11.83576854769071</v>
      </c>
      <c r="S36" s="3" t="n">
        <v>6.8</v>
      </c>
      <c r="T36" s="3" t="n">
        <v>103.2794613169327</v>
      </c>
      <c r="U36" s="3" t="n">
        <v>130.3735236690348</v>
      </c>
      <c r="V36" t="inlineStr"/>
    </row>
    <row r="37">
      <c r="A37" t="inlineStr">
        <is>
          <t>2018Q4</t>
        </is>
      </c>
      <c r="B37" s="2" t="n">
        <v>7375669.11</v>
      </c>
      <c r="C37" s="2" t="n">
        <v>666987</v>
      </c>
      <c r="D37" s="2" t="n">
        <v>1432715</v>
      </c>
      <c r="E37" s="2" t="n">
        <v>700201</v>
      </c>
      <c r="F37" s="2" t="n">
        <v>1568443</v>
      </c>
      <c r="G37" s="2" t="n">
        <v>215731</v>
      </c>
      <c r="H37" s="2" t="n">
        <v>2627099</v>
      </c>
      <c r="I37" s="3" t="n">
        <v>16.52450560570262</v>
      </c>
      <c r="J37" s="3" t="n">
        <v>13.92</v>
      </c>
      <c r="K37" s="3" t="n">
        <v>13.92</v>
      </c>
      <c r="L37" s="2" t="n">
        <v>1858992.32271915</v>
      </c>
      <c r="M37" s="2" t="n">
        <v>5542331.87040981</v>
      </c>
      <c r="N37" s="3" t="n">
        <v>1.264637754267454</v>
      </c>
      <c r="O37" s="2" t="n">
        <v>2350951.876203984</v>
      </c>
      <c r="P37" s="2" t="n">
        <v>7009042.130000001</v>
      </c>
      <c r="Q37" s="2" t="n">
        <v>7009042.13</v>
      </c>
      <c r="R37" s="3" t="n">
        <v>11.64459032168734</v>
      </c>
      <c r="S37" s="3" t="n">
        <v>7.3</v>
      </c>
      <c r="T37" s="3" t="n">
        <v>105.2307715262656</v>
      </c>
      <c r="U37" s="3" t="n">
        <v>133.0788065828081</v>
      </c>
      <c r="V37" s="3" t="n">
        <v>13.3</v>
      </c>
    </row>
    <row r="38">
      <c r="A38" t="inlineStr">
        <is>
          <t>2019Q1</t>
        </is>
      </c>
      <c r="B38" s="2" t="n">
        <v>7437086</v>
      </c>
      <c r="C38" s="2" t="n">
        <v>679834</v>
      </c>
      <c r="D38" s="2" t="n">
        <v>1482041</v>
      </c>
      <c r="E38" s="2" t="n">
        <v>723752</v>
      </c>
      <c r="F38" s="2" t="n">
        <v>1626895</v>
      </c>
      <c r="G38" s="2" t="n">
        <v>221537</v>
      </c>
      <c r="H38" s="2" t="n">
        <v>2703027</v>
      </c>
      <c r="I38" s="3" t="n">
        <v>13.45187801341148</v>
      </c>
      <c r="J38" s="3" t="n">
        <v>3.13</v>
      </c>
      <c r="K38" s="3" t="n">
        <v>13.44698339127075</v>
      </c>
      <c r="L38" s="2" t="n">
        <v>1118018.66250101</v>
      </c>
      <c r="M38" s="2" t="n">
        <v>5631732.8658042</v>
      </c>
      <c r="N38" s="3" t="n">
        <v>1.276587130879345</v>
      </c>
      <c r="O38" s="2" t="n">
        <v>1427248.236631728</v>
      </c>
      <c r="P38" s="2" t="n">
        <v>7135461.630102185</v>
      </c>
      <c r="Q38" t="inlineStr"/>
      <c r="R38" s="3" t="n">
        <v>9.718381563391375</v>
      </c>
      <c r="S38" s="3" t="n">
        <v>6.8</v>
      </c>
      <c r="T38" s="3" t="n">
        <v>104.227117817092</v>
      </c>
      <c r="U38" s="3" t="n">
        <v>132.0567963221032</v>
      </c>
      <c r="V38" t="inlineStr"/>
    </row>
    <row r="39">
      <c r="A39" t="inlineStr">
        <is>
          <t>2019Q2</t>
        </is>
      </c>
      <c r="B39" s="2" t="n">
        <v>7742083</v>
      </c>
      <c r="C39" s="2" t="n">
        <v>692189</v>
      </c>
      <c r="D39" s="2" t="n">
        <v>1521398</v>
      </c>
      <c r="E39" s="2" t="n">
        <v>746087</v>
      </c>
      <c r="F39" s="2" t="n">
        <v>1697014</v>
      </c>
      <c r="G39" s="2" t="n">
        <v>219908</v>
      </c>
      <c r="H39" s="2" t="n">
        <v>2865488</v>
      </c>
      <c r="I39" s="3" t="n">
        <v>13.40155066067026</v>
      </c>
      <c r="J39" s="3" t="n">
        <v>7.36</v>
      </c>
      <c r="K39" s="3" t="n">
        <v>13.39190802892638</v>
      </c>
      <c r="L39" s="2" t="n">
        <v>1367132.24918892</v>
      </c>
      <c r="M39" s="2" t="n">
        <v>5756427.988319511</v>
      </c>
      <c r="N39" s="3" t="n">
        <v>1.276587130879345</v>
      </c>
      <c r="O39" s="2" t="n">
        <v>1745263.43552471</v>
      </c>
      <c r="P39" s="2" t="n">
        <v>7309492.167931872</v>
      </c>
      <c r="Q39" t="inlineStr"/>
      <c r="R39" s="3" t="n">
        <v>11.07604977498802</v>
      </c>
      <c r="S39" s="3" t="n">
        <v>6.7</v>
      </c>
      <c r="T39" s="3" t="n">
        <v>105.9182063832832</v>
      </c>
      <c r="U39" s="3" t="n">
        <v>134.4945687796256</v>
      </c>
      <c r="V39" t="inlineStr"/>
    </row>
    <row r="40">
      <c r="A40" t="inlineStr">
        <is>
          <t>2019Q3</t>
        </is>
      </c>
      <c r="B40" s="2" t="n">
        <v>7888910</v>
      </c>
      <c r="C40" s="2" t="n">
        <v>696539</v>
      </c>
      <c r="D40" s="2" t="n">
        <v>1528279</v>
      </c>
      <c r="E40" s="2" t="n">
        <v>755355</v>
      </c>
      <c r="F40" s="2" t="n">
        <v>1739025</v>
      </c>
      <c r="G40" s="2" t="n">
        <v>222872</v>
      </c>
      <c r="H40" s="2" t="n">
        <v>2946840</v>
      </c>
      <c r="I40" s="3" t="n">
        <v>12.93015657517536</v>
      </c>
      <c r="J40" s="3" t="n">
        <v>9.4</v>
      </c>
      <c r="K40" s="3" t="n">
        <v>12.92903225806454</v>
      </c>
      <c r="L40" s="2" t="n">
        <v>1541309.72035639</v>
      </c>
      <c r="M40" s="2" t="n">
        <v>5885452.954765471</v>
      </c>
      <c r="N40" s="3" t="n">
        <v>1.276587130879345</v>
      </c>
      <c r="O40" s="2" t="n">
        <v>1967616.15370621</v>
      </c>
      <c r="P40" s="2" t="n">
        <v>7491079.702066633</v>
      </c>
      <c r="Q40" t="inlineStr"/>
      <c r="R40" s="3" t="n">
        <v>10.16711222568938</v>
      </c>
      <c r="S40" s="3" t="n">
        <v>7.5</v>
      </c>
      <c r="T40" s="3" t="n">
        <v>105.3107204002063</v>
      </c>
      <c r="U40" s="3" t="n">
        <v>134.0408301728472</v>
      </c>
      <c r="V40" t="inlineStr"/>
    </row>
    <row r="41">
      <c r="A41" t="inlineStr">
        <is>
          <t>2019Q4</t>
        </is>
      </c>
      <c r="B41" s="2" t="n">
        <v>8195393</v>
      </c>
      <c r="C41" s="2" t="n">
        <v>716217</v>
      </c>
      <c r="D41" s="2" t="n">
        <v>1560154</v>
      </c>
      <c r="E41" s="2" t="n">
        <v>800878</v>
      </c>
      <c r="F41" s="2" t="n">
        <v>1845992</v>
      </c>
      <c r="G41" s="2" t="n">
        <v>221782</v>
      </c>
      <c r="H41" s="2" t="n">
        <v>3050370</v>
      </c>
      <c r="I41" s="3" t="n">
        <v>11.11389187577043</v>
      </c>
      <c r="J41" s="3" t="n">
        <v>13.65</v>
      </c>
      <c r="K41" s="3" t="n">
        <v>13.65000000000001</v>
      </c>
      <c r="L41" s="2" t="n">
        <v>2010886.9986564</v>
      </c>
      <c r="M41" s="2" t="n">
        <v>6037347.630702721</v>
      </c>
      <c r="N41" s="3" t="n">
        <v>1.276587130879345</v>
      </c>
      <c r="O41" s="2" t="n">
        <v>2567072.464137352</v>
      </c>
      <c r="P41" s="2" t="n">
        <v>7707200.290000001</v>
      </c>
      <c r="Q41" s="2" t="n">
        <v>7707200.29</v>
      </c>
      <c r="R41" s="3" t="n">
        <v>9.192897146084157</v>
      </c>
      <c r="S41" s="3" t="n">
        <v>7</v>
      </c>
      <c r="T41" s="3" t="n">
        <v>106.3342418988828</v>
      </c>
      <c r="U41" s="3" t="n">
        <v>135.7449247799251</v>
      </c>
      <c r="V41" s="3" t="n">
        <v>12.1</v>
      </c>
    </row>
    <row r="42">
      <c r="A42" t="inlineStr">
        <is>
          <t>2020Q1</t>
        </is>
      </c>
      <c r="B42" s="2" t="n">
        <v>8302412</v>
      </c>
      <c r="C42" s="2" t="n">
        <v>721191</v>
      </c>
      <c r="D42" s="2" t="n">
        <v>1593200</v>
      </c>
      <c r="E42" s="2" t="n">
        <v>817813</v>
      </c>
      <c r="F42" s="2" t="n">
        <v>1859665</v>
      </c>
      <c r="G42" s="2" t="n">
        <v>226531</v>
      </c>
      <c r="H42" s="2" t="n">
        <v>3084013</v>
      </c>
      <c r="I42" s="3" t="n">
        <v>11.63528295894387</v>
      </c>
      <c r="J42" s="3" t="n">
        <v>1.31</v>
      </c>
      <c r="K42" s="3" t="n">
        <v>11.6443469407544</v>
      </c>
      <c r="L42" s="2" t="n">
        <v>1193484.76482755</v>
      </c>
      <c r="M42" s="2" t="n">
        <v>6112813.73302926</v>
      </c>
      <c r="N42" s="3" t="n">
        <v>1.278296420877816</v>
      </c>
      <c r="O42" s="2" t="n">
        <v>1525627.303251259</v>
      </c>
      <c r="P42" s="2" t="n">
        <v>7805579.356619532</v>
      </c>
      <c r="Q42" t="inlineStr"/>
      <c r="R42" s="3" t="n">
        <v>6.892919121883367</v>
      </c>
      <c r="S42" s="3" t="n">
        <v>3.7</v>
      </c>
      <c r="T42" s="3" t="n">
        <v>106.3650963071579</v>
      </c>
      <c r="U42" s="3" t="n">
        <v>135.8198100351025</v>
      </c>
      <c r="V42" t="inlineStr"/>
    </row>
    <row r="43">
      <c r="A43" t="inlineStr">
        <is>
          <t>2020Q2</t>
        </is>
      </c>
      <c r="B43" s="2" t="n">
        <v>8494504</v>
      </c>
      <c r="C43" s="2" t="n">
        <v>734369</v>
      </c>
      <c r="D43" s="2" t="n">
        <v>1621856</v>
      </c>
      <c r="E43" s="2" t="n">
        <v>836554</v>
      </c>
      <c r="F43" s="2" t="n">
        <v>1910204</v>
      </c>
      <c r="G43" s="2" t="n">
        <v>225580</v>
      </c>
      <c r="H43" s="2" t="n">
        <v>3165942</v>
      </c>
      <c r="I43" s="3" t="n">
        <v>9.718586070441248</v>
      </c>
      <c r="J43" s="3" t="n">
        <v>3.65</v>
      </c>
      <c r="K43" s="3" t="n">
        <v>9.722638785394967</v>
      </c>
      <c r="L43" s="2" t="n">
        <v>1382950.54735846</v>
      </c>
      <c r="M43" s="2" t="n">
        <v>6128632.0311988</v>
      </c>
      <c r="N43" s="3" t="n">
        <v>1.278296420877816</v>
      </c>
      <c r="O43" s="2" t="n">
        <v>1767820.734939336</v>
      </c>
      <c r="P43" s="2" t="n">
        <v>7828136.656034159</v>
      </c>
      <c r="Q43" t="inlineStr"/>
      <c r="R43" s="3" t="n">
        <v>1.292486793424663</v>
      </c>
      <c r="S43" s="3" t="n">
        <v>0.4</v>
      </c>
      <c r="T43" s="3" t="n">
        <v>108.5124643736538</v>
      </c>
      <c r="U43" s="3" t="n">
        <v>138.6035897857359</v>
      </c>
      <c r="V43" t="inlineStr"/>
    </row>
    <row r="44">
      <c r="A44" t="inlineStr">
        <is>
          <t>2020Q3</t>
        </is>
      </c>
      <c r="B44" s="2" t="n">
        <v>8694050</v>
      </c>
      <c r="C44" s="2" t="n">
        <v>750313</v>
      </c>
      <c r="D44" s="2" t="n">
        <v>1624931</v>
      </c>
      <c r="E44" s="2" t="n">
        <v>859918</v>
      </c>
      <c r="F44" s="2" t="n">
        <v>1973406</v>
      </c>
      <c r="G44" s="2" t="n">
        <v>227991</v>
      </c>
      <c r="H44" s="2" t="n">
        <v>3257491</v>
      </c>
      <c r="I44" s="3" t="n">
        <v>10.2059726882421</v>
      </c>
      <c r="J44" s="3" t="n">
        <v>6.08</v>
      </c>
      <c r="K44" s="3" t="n">
        <v>10.20102376599634</v>
      </c>
      <c r="L44" s="2" t="n">
        <v>1595202.0573564</v>
      </c>
      <c r="M44" s="2" t="n">
        <v>6182524.36819881</v>
      </c>
      <c r="N44" s="3" t="n">
        <v>1.278296420877816</v>
      </c>
      <c r="O44" s="2" t="n">
        <v>2039141.080495615</v>
      </c>
      <c r="P44" s="2" t="n">
        <v>7899661.582823563</v>
      </c>
      <c r="Q44" t="inlineStr"/>
      <c r="R44" s="3" t="n">
        <v>3.635105691457152</v>
      </c>
      <c r="S44" s="3" t="n">
        <v>2.6</v>
      </c>
      <c r="T44" s="3" t="n">
        <v>110.0559803587497</v>
      </c>
      <c r="U44" s="3" t="n">
        <v>140.622979906392</v>
      </c>
      <c r="V44" t="inlineStr"/>
    </row>
    <row r="45">
      <c r="A45" t="inlineStr">
        <is>
          <t>2020Q4</t>
        </is>
      </c>
      <c r="B45" s="2" t="n">
        <v>9192566</v>
      </c>
      <c r="C45" s="2" t="n">
        <v>775702</v>
      </c>
      <c r="D45" s="2" t="n">
        <v>1732451</v>
      </c>
      <c r="E45" s="2" t="n">
        <v>853905</v>
      </c>
      <c r="F45" s="2" t="n">
        <v>2104832</v>
      </c>
      <c r="G45" s="2" t="n">
        <v>241343</v>
      </c>
      <c r="H45" s="2" t="n">
        <v>3484334</v>
      </c>
      <c r="I45" s="3" t="n">
        <v>12.1674823891911</v>
      </c>
      <c r="J45" s="3" t="n">
        <v>12.17</v>
      </c>
      <c r="K45" s="3" t="n">
        <v>12.16999999999999</v>
      </c>
      <c r="L45" s="2" t="n">
        <v>2121414.53814881</v>
      </c>
      <c r="M45" s="2" t="n">
        <v>6293051.90769122</v>
      </c>
      <c r="N45" s="3" t="n">
        <v>1.278296420877816</v>
      </c>
      <c r="O45" s="2" t="n">
        <v>2711796.61131379</v>
      </c>
      <c r="P45" s="2" t="n">
        <v>8044385.730000001</v>
      </c>
      <c r="Q45" s="2" t="n">
        <v>8044385.73</v>
      </c>
      <c r="R45" s="3" t="n">
        <v>5.637711798099598</v>
      </c>
      <c r="S45" s="3" t="n">
        <v>4.5</v>
      </c>
      <c r="T45" s="3" t="n">
        <v>114.2730633330781</v>
      </c>
      <c r="U45" s="3" t="n">
        <v>146.0748478614178</v>
      </c>
      <c r="V45" s="3" t="n">
        <v>10.14</v>
      </c>
    </row>
    <row r="46">
      <c r="A46" t="inlineStr">
        <is>
          <t>2021Q1</t>
        </is>
      </c>
      <c r="B46" s="2" t="n">
        <v>9463868</v>
      </c>
      <c r="C46" s="2" t="n">
        <v>782736</v>
      </c>
      <c r="D46" s="2" t="n">
        <v>1804265</v>
      </c>
      <c r="E46" s="2" t="n">
        <v>858078</v>
      </c>
      <c r="F46" s="2" t="n">
        <v>2172915</v>
      </c>
      <c r="G46" s="2" t="n">
        <v>242906</v>
      </c>
      <c r="H46" s="2" t="n">
        <v>3602969</v>
      </c>
      <c r="I46" s="3" t="n">
        <v>13.98938043546862</v>
      </c>
      <c r="J46" s="3" t="n">
        <v>2.95</v>
      </c>
      <c r="K46" s="3" t="n">
        <v>13.98580100681077</v>
      </c>
      <c r="L46" s="2" t="n">
        <v>1963757.63387103</v>
      </c>
      <c r="M46" s="2" t="n">
        <v>7063324.7767347</v>
      </c>
      <c r="N46" s="3" t="n">
        <v>1</v>
      </c>
      <c r="O46" s="2" t="n">
        <v>1963757.63387103</v>
      </c>
      <c r="P46" s="2" t="n">
        <v>8482516.060619771</v>
      </c>
      <c r="Q46" t="inlineStr"/>
      <c r="R46" t="inlineStr"/>
      <c r="S46" s="3" t="n">
        <v>4.5</v>
      </c>
      <c r="T46" s="3" t="n">
        <v>111.5691138380058</v>
      </c>
      <c r="U46" s="3" t="n">
        <v>133.9860235674317</v>
      </c>
      <c r="V46" t="inlineStr"/>
    </row>
    <row r="47">
      <c r="A47" t="inlineStr">
        <is>
          <t>2021Q2</t>
        </is>
      </c>
      <c r="B47" s="2" t="n">
        <v>9784937</v>
      </c>
      <c r="C47" s="2" t="n">
        <v>789750</v>
      </c>
      <c r="D47" s="2" t="n">
        <v>1886703</v>
      </c>
      <c r="E47" s="2" t="n">
        <v>860280</v>
      </c>
      <c r="F47" s="2" t="n">
        <v>2276606</v>
      </c>
      <c r="G47" s="2" t="n">
        <v>252514</v>
      </c>
      <c r="H47" s="2" t="n">
        <v>3719085</v>
      </c>
      <c r="I47" s="3" t="n">
        <v>15.19138727817422</v>
      </c>
      <c r="J47" s="3" t="n">
        <v>6.44</v>
      </c>
      <c r="K47" s="3" t="n">
        <v>15.18933719247468</v>
      </c>
      <c r="L47" s="2" t="n">
        <v>2039147.53762714</v>
      </c>
      <c r="M47" s="2" t="n">
        <v>7719521.76700338</v>
      </c>
      <c r="N47" s="3" t="n">
        <v>1</v>
      </c>
      <c r="O47" s="2" t="n">
        <v>2039147.53762714</v>
      </c>
      <c r="P47" s="2" t="n">
        <v>8753842.863307577</v>
      </c>
      <c r="Q47" t="inlineStr"/>
      <c r="R47" t="inlineStr"/>
      <c r="S47" s="3" t="n">
        <v>6.6</v>
      </c>
      <c r="T47" s="3" t="n">
        <v>111.7787599434111</v>
      </c>
      <c r="U47" s="3" t="n">
        <v>126.7557407743199</v>
      </c>
      <c r="V47" t="inlineStr"/>
    </row>
    <row r="48">
      <c r="A48" t="inlineStr">
        <is>
          <t>2021Q3</t>
        </is>
      </c>
      <c r="B48" s="2" t="n">
        <v>9917032</v>
      </c>
      <c r="C48" s="2" t="n">
        <v>795743</v>
      </c>
      <c r="D48" s="2" t="n">
        <v>1943212</v>
      </c>
      <c r="E48" s="2" t="n">
        <v>857730</v>
      </c>
      <c r="F48" s="2" t="n">
        <v>2325198</v>
      </c>
      <c r="G48" s="2" t="n">
        <v>254509</v>
      </c>
      <c r="H48" s="2" t="n">
        <v>3740637</v>
      </c>
      <c r="I48" s="3" t="n">
        <v>14.06688482352873</v>
      </c>
      <c r="J48" s="3" t="n">
        <v>7.88</v>
      </c>
      <c r="K48" s="3" t="n">
        <v>14.07333710407239</v>
      </c>
      <c r="L48" s="2" t="n">
        <v>1996696.28054696</v>
      </c>
      <c r="M48" s="2" t="n">
        <v>8121015.990193941</v>
      </c>
      <c r="N48" s="3" t="n">
        <v>1</v>
      </c>
      <c r="O48" s="2" t="n">
        <v>1996696.28054696</v>
      </c>
      <c r="P48" s="2" t="n">
        <v>8711398.063358922</v>
      </c>
      <c r="Q48" t="inlineStr"/>
      <c r="R48" t="inlineStr"/>
      <c r="S48" s="3" t="n">
        <v>-6.2</v>
      </c>
      <c r="T48" s="3" t="n">
        <v>113.8397296033584</v>
      </c>
      <c r="U48" s="3" t="n">
        <v>122.1156566121127</v>
      </c>
      <c r="V48" t="inlineStr"/>
    </row>
    <row r="49">
      <c r="A49" t="inlineStr">
        <is>
          <t>2021Q4</t>
        </is>
      </c>
      <c r="B49" s="2" t="n">
        <v>10444078</v>
      </c>
      <c r="C49" s="2" t="n">
        <v>825079</v>
      </c>
      <c r="D49" s="2" t="n">
        <v>1980745</v>
      </c>
      <c r="E49" s="2" t="n">
        <v>889025</v>
      </c>
      <c r="F49" s="2" t="n">
        <v>2480235</v>
      </c>
      <c r="G49" s="2" t="n">
        <v>268227</v>
      </c>
      <c r="H49" s="2" t="n">
        <v>4000765</v>
      </c>
      <c r="I49" s="3" t="n">
        <v>13.61439232527675</v>
      </c>
      <c r="J49" s="3" t="n">
        <v>13.61</v>
      </c>
      <c r="K49" s="3" t="n">
        <v>13.60999999999999</v>
      </c>
      <c r="L49" s="2" t="n">
        <v>2399004.76804079</v>
      </c>
      <c r="M49" s="2" t="n">
        <v>8398606.220085921</v>
      </c>
      <c r="N49" s="3" t="n">
        <v>1</v>
      </c>
      <c r="O49" s="2" t="n">
        <v>2399004.76804079</v>
      </c>
      <c r="P49" s="2" t="n">
        <v>8398606.220085921</v>
      </c>
      <c r="Q49" s="2" t="n">
        <v>8487475.6</v>
      </c>
      <c r="R49" t="inlineStr"/>
      <c r="S49" s="3" t="n">
        <v>5.2</v>
      </c>
      <c r="T49" s="3" t="n">
        <v>124.3548956375901</v>
      </c>
      <c r="U49" s="3" t="n">
        <v>124.3548956375901</v>
      </c>
      <c r="V49" t="inlineStr"/>
    </row>
    <row r="50">
      <c r="A50" t="inlineStr">
        <is>
          <t>2022Q1</t>
        </is>
      </c>
      <c r="B50" s="2" t="n">
        <v>11067407.98</v>
      </c>
      <c r="C50" s="2" t="n">
        <v>857786</v>
      </c>
      <c r="D50" s="2" t="n">
        <v>2077968</v>
      </c>
      <c r="E50" s="2" t="n">
        <v>914823</v>
      </c>
      <c r="F50" s="2" t="n">
        <v>2625246</v>
      </c>
      <c r="G50" s="2" t="n">
        <v>278621</v>
      </c>
      <c r="H50" s="2" t="n">
        <v>4312961</v>
      </c>
      <c r="I50" s="3" t="n">
        <v>16.94381176914133</v>
      </c>
      <c r="J50" s="3" t="n">
        <v>5.97</v>
      </c>
      <c r="K50" s="3" t="n">
        <v>16.94270713938803</v>
      </c>
      <c r="L50" s="2" t="n">
        <v>2137412.99999318</v>
      </c>
      <c r="M50" s="2" t="n">
        <v>8572261.586208072</v>
      </c>
      <c r="N50" s="3" t="n">
        <v>1</v>
      </c>
      <c r="O50" s="2" t="n">
        <v>2137412.99999318</v>
      </c>
      <c r="P50" s="2" t="n">
        <v>8572261.586208072</v>
      </c>
      <c r="Q50" t="inlineStr"/>
      <c r="R50" s="3" t="n">
        <v>8.843014184995646</v>
      </c>
      <c r="S50" s="3" t="n">
        <v>5</v>
      </c>
      <c r="T50" s="3" t="n">
        <v>129.1072124747847</v>
      </c>
      <c r="U50" s="3" t="n">
        <v>129.1072124747847</v>
      </c>
      <c r="V50" t="inlineStr"/>
    </row>
    <row r="51">
      <c r="A51" t="inlineStr">
        <is>
          <t>2022Q2</t>
        </is>
      </c>
      <c r="B51" s="2" t="n">
        <v>11428653.23</v>
      </c>
      <c r="C51" s="2" t="n">
        <v>887162</v>
      </c>
      <c r="D51" s="2" t="n">
        <v>2130377</v>
      </c>
      <c r="E51" s="2" t="n">
        <v>943961</v>
      </c>
      <c r="F51" s="2" t="n">
        <v>2726811</v>
      </c>
      <c r="G51" s="2" t="n">
        <v>278297</v>
      </c>
      <c r="H51" s="2" t="n">
        <v>4462046</v>
      </c>
      <c r="I51" s="3" t="n">
        <v>16.79843447126947</v>
      </c>
      <c r="J51" s="3" t="n">
        <v>9.44</v>
      </c>
      <c r="K51" s="3" t="n">
        <v>16.8120856820744</v>
      </c>
      <c r="L51" s="2" t="n">
        <v>2292012.33712113</v>
      </c>
      <c r="M51" s="2" t="n">
        <v>8825126.385702061</v>
      </c>
      <c r="N51" s="3" t="n">
        <v>1</v>
      </c>
      <c r="O51" s="2" t="n">
        <v>2292012.33712113</v>
      </c>
      <c r="P51" s="2" t="n">
        <v>8825126.385702061</v>
      </c>
      <c r="Q51" t="inlineStr"/>
      <c r="R51" s="3" t="n">
        <v>12.40051515783094</v>
      </c>
      <c r="S51" s="3" t="n">
        <v>7.7</v>
      </c>
      <c r="T51" s="3" t="n">
        <v>129.501298117566</v>
      </c>
      <c r="U51" s="3" t="n">
        <v>129.501298117566</v>
      </c>
      <c r="V51" t="inlineStr"/>
    </row>
    <row r="52">
      <c r="A52" t="inlineStr">
        <is>
          <t>2022Q3</t>
        </is>
      </c>
      <c r="B52" s="2" t="n">
        <v>11597310.32</v>
      </c>
      <c r="C52" s="2" t="n">
        <v>888368</v>
      </c>
      <c r="D52" s="2" t="n">
        <v>2129553</v>
      </c>
      <c r="E52" s="2" t="n">
        <v>967517</v>
      </c>
      <c r="F52" s="2" t="n">
        <v>2774415</v>
      </c>
      <c r="G52" s="2" t="n">
        <v>272800</v>
      </c>
      <c r="H52" s="2" t="n">
        <v>4564658</v>
      </c>
      <c r="I52" s="3" t="n">
        <v>16.94335885978788</v>
      </c>
      <c r="J52" s="3" t="n">
        <v>11.05</v>
      </c>
      <c r="K52" s="3" t="n">
        <v>16.94837319243603</v>
      </c>
      <c r="L52" s="2" t="n">
        <v>2378300.353481959</v>
      </c>
      <c r="M52" s="2" t="n">
        <v>9206730.458637061</v>
      </c>
      <c r="N52" s="3" t="n">
        <v>1</v>
      </c>
      <c r="O52" s="2" t="n">
        <v>2378300.353481959</v>
      </c>
      <c r="P52" s="2" t="n">
        <v>9206730.458637061</v>
      </c>
      <c r="Q52" t="inlineStr"/>
      <c r="R52" s="3" t="n">
        <v>19.11177361588841</v>
      </c>
      <c r="S52" s="3" t="n">
        <v>13.7</v>
      </c>
      <c r="T52" s="3" t="n">
        <v>125.965568038546</v>
      </c>
      <c r="U52" s="3" t="n">
        <v>125.965568038546</v>
      </c>
      <c r="V52" t="inlineStr"/>
    </row>
    <row r="53">
      <c r="A53" t="inlineStr">
        <is>
          <t>2022Q4</t>
        </is>
      </c>
      <c r="B53" s="2" t="n">
        <v>11924433.61</v>
      </c>
      <c r="C53" s="2" t="n">
        <v>890502</v>
      </c>
      <c r="D53" s="2" t="n">
        <v>2101761</v>
      </c>
      <c r="E53" s="2" t="n">
        <v>994468</v>
      </c>
      <c r="F53" s="2" t="n">
        <v>2872748</v>
      </c>
      <c r="G53" s="2" t="n">
        <v>267908</v>
      </c>
      <c r="H53" s="2" t="n">
        <v>4797047</v>
      </c>
      <c r="I53" s="3" t="n">
        <v>14.17411484288034</v>
      </c>
      <c r="J53" s="3" t="n">
        <v>14.2</v>
      </c>
      <c r="K53" s="3" t="n">
        <v>14.19999999999999</v>
      </c>
      <c r="L53" s="2" t="n">
        <v>2669130.966399007</v>
      </c>
      <c r="M53" s="2" t="n">
        <v>9476856.656995276</v>
      </c>
      <c r="N53" s="3" t="n">
        <v>1</v>
      </c>
      <c r="O53" s="2" t="n">
        <v>2669130.966399007</v>
      </c>
      <c r="P53" s="2" t="n">
        <v>9476856.656995278</v>
      </c>
      <c r="Q53" s="2" t="n">
        <v>9621371.82</v>
      </c>
      <c r="R53" s="3" t="n">
        <v>11.2599275314831</v>
      </c>
      <c r="S53" s="3" t="n">
        <v>5.9</v>
      </c>
      <c r="T53" s="3" t="n">
        <v>125.8268858714673</v>
      </c>
      <c r="U53" s="3" t="n">
        <v>125.8268858714673</v>
      </c>
      <c r="V53" s="3" t="n">
        <v>12.87</v>
      </c>
    </row>
    <row r="54">
      <c r="A54" t="inlineStr">
        <is>
          <t>2023Q1</t>
        </is>
      </c>
      <c r="B54" s="2" t="n">
        <v>12231723.64</v>
      </c>
      <c r="C54" s="2" t="n">
        <v>902228</v>
      </c>
      <c r="D54" s="2" t="n">
        <v>2159720</v>
      </c>
      <c r="E54" s="2" t="n">
        <v>1028999</v>
      </c>
      <c r="F54" s="2" t="n">
        <v>2973490</v>
      </c>
      <c r="G54" s="2" t="n">
        <v>274478</v>
      </c>
      <c r="H54" s="2" t="n">
        <v>4892808</v>
      </c>
      <c r="I54" s="3" t="n">
        <v>10.52021992958101</v>
      </c>
      <c r="J54" s="3" t="n">
        <v>2.56</v>
      </c>
      <c r="K54" s="3" t="n">
        <v>10.52516750023591</v>
      </c>
      <c r="L54" s="2" t="n">
        <v>2296832.95052603</v>
      </c>
      <c r="M54" s="2" t="n">
        <v>9636276.607528128</v>
      </c>
      <c r="N54" s="3" t="n">
        <v>1</v>
      </c>
      <c r="O54" s="2" t="n">
        <v>2296832.95052603</v>
      </c>
      <c r="P54" s="2" t="n">
        <v>9636276.607528128</v>
      </c>
      <c r="Q54" t="inlineStr"/>
      <c r="R54" s="3" t="n">
        <v>7.45854687574925</v>
      </c>
      <c r="S54" s="3" t="n">
        <v>3.3</v>
      </c>
      <c r="T54" s="3" t="n">
        <v>126.9341275492677</v>
      </c>
      <c r="U54" s="3" t="n">
        <v>126.9341275492677</v>
      </c>
      <c r="V54" t="inlineStr"/>
    </row>
    <row r="55">
      <c r="A55" t="inlineStr">
        <is>
          <t>2023Q2</t>
        </is>
      </c>
      <c r="B55" s="2" t="n">
        <v>12487912.51</v>
      </c>
      <c r="C55" s="2" t="n">
        <v>912467</v>
      </c>
      <c r="D55" s="2" t="n">
        <v>2188022</v>
      </c>
      <c r="E55" s="2" t="n">
        <v>1055734</v>
      </c>
      <c r="F55" s="2" t="n">
        <v>3068783</v>
      </c>
      <c r="G55" s="2" t="n">
        <v>295394</v>
      </c>
      <c r="H55" s="2" t="n">
        <v>4967511</v>
      </c>
      <c r="I55" s="3" t="n">
        <v>9.268452359893665</v>
      </c>
      <c r="J55" s="3" t="n">
        <v>4.71</v>
      </c>
      <c r="K55" s="3" t="n">
        <v>9.264272660818683</v>
      </c>
      <c r="L55" s="2" t="n">
        <v>2445616.66551311</v>
      </c>
      <c r="M55" s="2" t="n">
        <v>9789880.935920106</v>
      </c>
      <c r="N55" s="3" t="n">
        <v>1</v>
      </c>
      <c r="O55" s="2" t="n">
        <v>2445616.66551311</v>
      </c>
      <c r="P55" s="2" t="n">
        <v>9789880.935920106</v>
      </c>
      <c r="Q55" t="inlineStr"/>
      <c r="R55" s="3" t="n">
        <v>6.701723455158781</v>
      </c>
      <c r="S55" s="3" t="n">
        <v>4.1</v>
      </c>
      <c r="T55" s="3" t="n">
        <v>127.5593910869797</v>
      </c>
      <c r="U55" s="3" t="n">
        <v>127.5593910869797</v>
      </c>
      <c r="V55" t="inlineStr"/>
    </row>
    <row r="56">
      <c r="A56" t="inlineStr">
        <is>
          <t>2023Q3</t>
        </is>
      </c>
      <c r="B56" s="2" t="n">
        <v>12754669.12</v>
      </c>
      <c r="C56" s="2" t="n">
        <v>914564</v>
      </c>
      <c r="D56" s="2" t="n">
        <v>2233911</v>
      </c>
      <c r="E56" s="2" t="n">
        <v>1056421</v>
      </c>
      <c r="F56" s="2" t="n">
        <v>3174870</v>
      </c>
      <c r="G56" s="2" t="n">
        <v>301922</v>
      </c>
      <c r="H56" s="2" t="n">
        <v>5072980</v>
      </c>
      <c r="I56" s="3" t="n">
        <v>9.979544981253884</v>
      </c>
      <c r="J56" s="3" t="n">
        <v>6.95</v>
      </c>
      <c r="K56" s="3" t="n">
        <v>9.98370103556956</v>
      </c>
      <c r="L56" s="2" t="n">
        <v>2554935.74474915</v>
      </c>
      <c r="M56" s="2" t="n">
        <v>9966516.327187298</v>
      </c>
      <c r="N56" s="3" t="n">
        <v>1</v>
      </c>
      <c r="O56" s="2" t="n">
        <v>2554935.74474915</v>
      </c>
      <c r="P56" s="2" t="n">
        <v>9966516.327187298</v>
      </c>
      <c r="Q56" t="inlineStr"/>
      <c r="R56" s="3" t="n">
        <v>7.426958962882346</v>
      </c>
      <c r="S56" s="3" t="n">
        <v>5.3</v>
      </c>
      <c r="T56" s="3" t="n">
        <v>127.9751991697139</v>
      </c>
      <c r="U56" s="3" t="n">
        <v>127.9751991697139</v>
      </c>
      <c r="V56" t="inlineStr"/>
    </row>
    <row r="57">
      <c r="A57" t="inlineStr">
        <is>
          <t>2023Q4</t>
        </is>
      </c>
      <c r="B57" s="2" t="n">
        <v>13568977.92</v>
      </c>
      <c r="C57" s="2" t="n">
        <v>952409</v>
      </c>
      <c r="D57" s="2" t="n">
        <v>2367479</v>
      </c>
      <c r="E57" s="2" t="n">
        <v>1103081</v>
      </c>
      <c r="F57" s="2" t="n">
        <v>3445941</v>
      </c>
      <c r="G57" s="2" t="n">
        <v>317538</v>
      </c>
      <c r="H57" s="2" t="n">
        <v>5382529</v>
      </c>
      <c r="I57" s="3" t="n">
        <v>13.79138300221541</v>
      </c>
      <c r="J57" s="3" t="n">
        <v>13.78</v>
      </c>
      <c r="K57" s="3" t="n">
        <v>13.77999999999999</v>
      </c>
      <c r="L57" s="2" t="n">
        <v>2921187.13110232</v>
      </c>
      <c r="M57" s="2" t="n">
        <v>10218572.49189061</v>
      </c>
      <c r="N57" s="3" t="n">
        <v>1</v>
      </c>
      <c r="O57" s="2" t="n">
        <v>2921187.13110232</v>
      </c>
      <c r="P57" s="2" t="n">
        <v>10218572.49189061</v>
      </c>
      <c r="Q57" s="2" t="n">
        <v>10319058.868956</v>
      </c>
      <c r="R57" s="3" t="n">
        <v>9.443379432346388</v>
      </c>
      <c r="S57" s="3" t="n">
        <v>6.7</v>
      </c>
      <c r="T57" s="3" t="n">
        <v>132.7874116543015</v>
      </c>
      <c r="U57" s="3" t="n">
        <v>132.7874116543015</v>
      </c>
      <c r="V57" t="inlineStr"/>
    </row>
    <row r="58">
      <c r="A58" t="inlineStr">
        <is>
          <t>2024Q1</t>
        </is>
      </c>
      <c r="B58" s="2" t="n">
        <v>13761415.87</v>
      </c>
      <c r="C58" s="2" t="n">
        <v>960623</v>
      </c>
      <c r="D58" s="2" t="n">
        <v>2437967</v>
      </c>
      <c r="E58" s="2" t="n">
        <v>1103175</v>
      </c>
      <c r="F58" s="2" t="n">
        <v>3514724</v>
      </c>
      <c r="G58" s="2" t="n">
        <v>317953</v>
      </c>
      <c r="H58" s="2" t="n">
        <v>5426973</v>
      </c>
      <c r="I58" s="3" t="n">
        <v>12.50594172188146</v>
      </c>
      <c r="J58" s="3" t="n">
        <v>1.42</v>
      </c>
      <c r="K58" s="3" t="n">
        <v>12.51528471138843</v>
      </c>
      <c r="L58" s="2" t="n">
        <v>2517636.34041055</v>
      </c>
      <c r="M58" s="2" t="n">
        <v>10439375.88177513</v>
      </c>
      <c r="N58" s="3" t="n">
        <v>1</v>
      </c>
      <c r="O58" s="2" t="n">
        <v>2517636.34041055</v>
      </c>
      <c r="P58" s="2" t="n">
        <v>10439375.88177513</v>
      </c>
      <c r="Q58" t="inlineStr"/>
      <c r="R58" s="3" t="n">
        <v>9.613384805976022</v>
      </c>
      <c r="S58" s="3" t="n">
        <v>5.7</v>
      </c>
      <c r="T58" s="3" t="n">
        <v>131.8222087780595</v>
      </c>
      <c r="U58" s="3" t="n">
        <v>131.8222087780595</v>
      </c>
      <c r="V58" t="inlineStr"/>
    </row>
    <row r="59">
      <c r="A59" t="inlineStr">
        <is>
          <t>2024Q2</t>
        </is>
      </c>
      <c r="B59" s="2" t="n">
        <v>14396261.98</v>
      </c>
      <c r="C59" s="2" t="n">
        <v>985944</v>
      </c>
      <c r="D59" s="2" t="n">
        <v>2539331</v>
      </c>
      <c r="E59" s="2" t="n">
        <v>1138879</v>
      </c>
      <c r="F59" s="2" t="n">
        <v>3650115</v>
      </c>
      <c r="G59" s="2" t="n">
        <v>328927</v>
      </c>
      <c r="H59" s="2" t="n">
        <v>5753065</v>
      </c>
      <c r="I59" s="3" t="n">
        <v>15.28157302889368</v>
      </c>
      <c r="J59" s="3" t="n">
        <v>6.1</v>
      </c>
      <c r="K59" s="3" t="n">
        <v>15.29040206284023</v>
      </c>
      <c r="L59" s="2" t="n">
        <v>2732153.13126143</v>
      </c>
      <c r="M59" s="2" t="n">
        <v>10725912.34752345</v>
      </c>
      <c r="N59" s="3" t="n">
        <v>1</v>
      </c>
      <c r="O59" s="2" t="n">
        <v>2732153.13126143</v>
      </c>
      <c r="P59" s="2" t="n">
        <v>10725912.34752345</v>
      </c>
      <c r="Q59" t="inlineStr"/>
      <c r="R59" s="3" t="n">
        <v>11.71632781984673</v>
      </c>
      <c r="S59" s="3" t="n">
        <v>6.9</v>
      </c>
      <c r="T59" s="3" t="n">
        <v>134.2194632359084</v>
      </c>
      <c r="U59" s="3" t="n">
        <v>134.2194632359084</v>
      </c>
      <c r="V59" t="inlineStr"/>
    </row>
    <row r="60">
      <c r="A60" t="inlineStr">
        <is>
          <t>2024Q3</t>
        </is>
      </c>
      <c r="B60" s="2" t="n">
        <v>14805563.37</v>
      </c>
      <c r="C60" s="2" t="n">
        <v>999316</v>
      </c>
      <c r="D60" s="2" t="n">
        <v>2588334</v>
      </c>
      <c r="E60" s="2" t="n">
        <v>1163279</v>
      </c>
      <c r="F60" s="2" t="n">
        <v>3778796</v>
      </c>
      <c r="G60" s="2" t="n">
        <v>343942</v>
      </c>
      <c r="H60" s="2" t="n">
        <v>5931897</v>
      </c>
      <c r="I60" s="3" t="n">
        <v>16.0795566761045</v>
      </c>
      <c r="J60" s="3" t="n">
        <v>9.109999999999999</v>
      </c>
      <c r="K60" s="3" t="n">
        <v>16.07794109396912</v>
      </c>
      <c r="L60" s="2" t="n">
        <v>2894998.47583629</v>
      </c>
      <c r="M60" s="2" t="n">
        <v>11065975.07861059</v>
      </c>
      <c r="N60" s="3" t="n">
        <v>1</v>
      </c>
      <c r="O60" s="2" t="n">
        <v>2894998.47583629</v>
      </c>
      <c r="P60" s="2" t="n">
        <v>11065975.07861059</v>
      </c>
      <c r="Q60" t="inlineStr"/>
      <c r="R60" s="3" t="n">
        <v>13.31003066460792</v>
      </c>
      <c r="S60" s="3" t="n">
        <v>7.4</v>
      </c>
      <c r="T60" s="3" t="n">
        <v>133.7935723225841</v>
      </c>
      <c r="U60" s="3" t="n">
        <v>133.7935723225841</v>
      </c>
      <c r="V60" t="inlineStr"/>
    </row>
    <row r="61">
      <c r="A61" t="inlineStr">
        <is>
          <t>2024Q4</t>
        </is>
      </c>
      <c r="B61" s="2" t="n">
        <v>15616213.73</v>
      </c>
      <c r="C61" s="2" t="n">
        <v>1022398</v>
      </c>
      <c r="D61" s="2" t="n">
        <v>2678172</v>
      </c>
      <c r="E61" s="2" t="n">
        <v>1195036</v>
      </c>
      <c r="F61" s="2" t="n">
        <v>4024420</v>
      </c>
      <c r="G61" s="2" t="n">
        <v>381612</v>
      </c>
      <c r="H61" s="2" t="n">
        <v>6314576</v>
      </c>
      <c r="I61" s="3" t="n">
        <v>15.08761987874177</v>
      </c>
      <c r="J61" s="3" t="n">
        <v>15.09</v>
      </c>
      <c r="K61" s="3" t="n">
        <v>15.09</v>
      </c>
      <c r="L61" s="2" t="n">
        <v>3297407.63620844</v>
      </c>
      <c r="M61" s="2" t="n">
        <v>11442195.58371671</v>
      </c>
      <c r="N61" s="3" t="n">
        <v>1</v>
      </c>
      <c r="O61" s="2" t="n">
        <v>3297407.63620844</v>
      </c>
      <c r="P61" s="2" t="n">
        <v>11442195.58371671</v>
      </c>
      <c r="Q61" s="2" t="n">
        <v>11510328.9207732</v>
      </c>
      <c r="R61" s="3" t="n">
        <v>12.87902788220734</v>
      </c>
      <c r="S61" s="3" t="n">
        <v>7.55</v>
      </c>
      <c r="T61" s="3" t="n">
        <v>136.4791714644635</v>
      </c>
      <c r="U61" s="3" t="n">
        <v>136.4791714644635</v>
      </c>
      <c r="V61" s="3" t="n">
        <v>15.08</v>
      </c>
    </row>
    <row r="62">
      <c r="A62" t="inlineStr">
        <is>
          <t>2025Q1</t>
        </is>
      </c>
      <c r="B62" s="2" t="n">
        <v>16226458.02</v>
      </c>
      <c r="C62" s="2" t="n">
        <v>1037306</v>
      </c>
      <c r="D62" s="2" t="n">
        <v>2758503</v>
      </c>
      <c r="E62" s="2" t="n">
        <v>1226802</v>
      </c>
      <c r="F62" s="2" t="n">
        <v>4165463</v>
      </c>
      <c r="G62" s="2" t="n">
        <v>411215</v>
      </c>
      <c r="H62" s="2" t="n">
        <v>6627167</v>
      </c>
      <c r="I62" s="3" t="n">
        <v>17.91270733539718</v>
      </c>
      <c r="J62" s="3" t="n">
        <v>3.91</v>
      </c>
      <c r="K62" s="3" t="n">
        <v>17.91561723525932</v>
      </c>
      <c r="L62" s="2" t="n">
        <v>2809521.91515984</v>
      </c>
      <c r="M62" s="2" t="n">
        <v>11734081.158466</v>
      </c>
      <c r="N62" s="3" t="n">
        <v>1</v>
      </c>
      <c r="O62" s="2" t="n">
        <v>2809521.91515984</v>
      </c>
      <c r="P62" s="2" t="n">
        <v>11734081.158466</v>
      </c>
      <c r="Q62" t="inlineStr"/>
      <c r="R62" s="3" t="n">
        <v>11.5936352706798</v>
      </c>
      <c r="S62" s="3" t="n">
        <v>6.93</v>
      </c>
      <c r="T62" s="3" t="n">
        <v>138.2848627077443</v>
      </c>
      <c r="U62" s="3" t="n">
        <v>138.2848627077443</v>
      </c>
      <c r="V62" t="inlineStr"/>
    </row>
    <row r="63">
      <c r="A63" t="inlineStr">
        <is>
          <t>2025Q2</t>
        </is>
      </c>
      <c r="B63" s="2" t="n">
        <v>17163138.4</v>
      </c>
      <c r="C63" s="2" t="n">
        <v>1075789</v>
      </c>
      <c r="D63" s="2" t="n">
        <v>2846084</v>
      </c>
      <c r="E63" s="2" t="n">
        <v>1276396</v>
      </c>
      <c r="F63" s="2" t="n">
        <v>4329892</v>
      </c>
      <c r="G63" s="2" t="n">
        <v>439118</v>
      </c>
      <c r="H63" s="2" t="n">
        <v>7195859</v>
      </c>
      <c r="I63" s="3" t="n">
        <v>19.21940864818854</v>
      </c>
      <c r="J63" s="3" t="n">
        <v>9.91</v>
      </c>
      <c r="K63" s="3" t="n">
        <v>19.22282657869936</v>
      </c>
      <c r="L63" s="2" t="n">
        <v>3099631.82645784</v>
      </c>
      <c r="M63" s="2" t="n">
        <v>12101559.85366241</v>
      </c>
      <c r="N63" s="3" t="n">
        <v>1</v>
      </c>
      <c r="O63" s="2" t="n">
        <v>3099631.82645784</v>
      </c>
      <c r="P63" s="2" t="n">
        <v>12101559.85366241</v>
      </c>
      <c r="Q63" t="inlineStr"/>
      <c r="R63" s="3" t="n">
        <v>13.45015002972199</v>
      </c>
      <c r="S63" s="3" t="n">
        <v>8.19</v>
      </c>
      <c r="T63" s="3" t="n">
        <v>141.825835739727</v>
      </c>
      <c r="U63" s="3" t="n">
        <v>141.825835739727</v>
      </c>
      <c r="V63" t="inlineStr"/>
    </row>
    <row r="64">
      <c r="A64" t="inlineStr">
        <is>
          <t>2025Q3</t>
        </is>
      </c>
      <c r="B64" s="2" t="n">
        <v>17780620.952978</v>
      </c>
      <c r="C64" t="inlineStr"/>
      <c r="D64" s="2" t="n">
        <v>1123615.402</v>
      </c>
      <c r="E64" s="2" t="n">
        <v>2962593.8664</v>
      </c>
      <c r="F64" s="2" t="n">
        <v>1291953.4196</v>
      </c>
      <c r="G64" s="2" t="n">
        <v>4662693.012</v>
      </c>
      <c r="H64" t="inlineStr"/>
      <c r="I64" s="3" t="n">
        <v>20.09418695276572</v>
      </c>
      <c r="J64" s="3" t="n">
        <v>13.86</v>
      </c>
      <c r="K64" s="3" t="n">
        <v>20.10033360828523</v>
      </c>
      <c r="L64" s="2" t="n">
        <v>3237106.701466116</v>
      </c>
      <c r="M64" s="2" t="n">
        <v>12443668.07929224</v>
      </c>
      <c r="N64" s="3" t="n">
        <v>1</v>
      </c>
      <c r="O64" s="2" t="n">
        <v>3237106.701466116</v>
      </c>
      <c r="P64" s="2" t="n">
        <v>12443668.07929224</v>
      </c>
      <c r="Q64" t="inlineStr"/>
      <c r="R64" s="3" t="n">
        <v>11.81721608785993</v>
      </c>
      <c r="S64" s="3" t="n">
        <v>8.23</v>
      </c>
      <c r="T64" s="3" t="n">
        <v>142.8889041372543</v>
      </c>
      <c r="U64" s="3" t="n">
        <v>142.8889041372543</v>
      </c>
      <c r="V64" t="inlineStr"/>
    </row>
    <row r="65">
      <c r="A65" t="inlineStr">
        <is>
          <t>2025Q4</t>
        </is>
      </c>
      <c r="B65" s="2" t="n">
        <v>18815882</v>
      </c>
      <c r="C65" s="2" t="n">
        <v>1135006</v>
      </c>
      <c r="D65" s="2" t="n">
        <v>2947887</v>
      </c>
      <c r="E65" s="2" t="n">
        <v>1405724</v>
      </c>
      <c r="F65" s="2" t="n">
        <v>4411458</v>
      </c>
      <c r="G65" s="2" t="n">
        <v>476045</v>
      </c>
      <c r="H65" s="2" t="n">
        <v>8218809</v>
      </c>
      <c r="I65" s="3" t="n">
        <v>20.48939855282066</v>
      </c>
      <c r="J65" s="3" t="n">
        <v>19.07</v>
      </c>
      <c r="K65" s="3" t="n">
        <v>19.07000000000001</v>
      </c>
      <c r="L65" s="2" t="n">
        <v>3710894.927430319</v>
      </c>
      <c r="M65" s="2" t="n">
        <v>12857155.37051412</v>
      </c>
      <c r="N65" s="3" t="n">
        <v>1</v>
      </c>
      <c r="O65" s="2" t="n">
        <v>3710894.927430319</v>
      </c>
      <c r="P65" s="2" t="n">
        <v>12857155.37051412</v>
      </c>
      <c r="Q65" s="2" t="n">
        <v>12847571.2159938</v>
      </c>
      <c r="R65" s="3" t="n">
        <v>12.5397687165343</v>
      </c>
      <c r="S65" s="3" t="n">
        <v>8.460000000000001</v>
      </c>
      <c r="T65" s="3" t="n">
        <v>146.3456064562407</v>
      </c>
      <c r="U65" s="3" t="n">
        <v>146.3456064562407</v>
      </c>
      <c r="V65" t="inlineStr"/>
    </row>
    <row r="66">
      <c r="A66" t="inlineStr">
        <is>
          <t>2026Q1</t>
        </is>
      </c>
      <c r="B66" s="2" t="n">
        <v>19186824</v>
      </c>
      <c r="C66" s="2" t="n">
        <v>1174701</v>
      </c>
      <c r="D66" s="2" t="n">
        <v>3087333</v>
      </c>
      <c r="E66" s="2" t="n">
        <v>1470437</v>
      </c>
      <c r="F66" s="2" t="n">
        <v>4444600</v>
      </c>
      <c r="G66" s="2" t="n">
        <v>499765</v>
      </c>
      <c r="H66" s="2" t="n">
        <v>8509988</v>
      </c>
      <c r="I66" s="3" t="n">
        <v>18.24406766005982</v>
      </c>
      <c r="J66" s="3" t="n">
        <v>3.18</v>
      </c>
      <c r="K66" s="3" t="n">
        <v>18.23349629487059</v>
      </c>
      <c r="L66" s="2" t="n">
        <v>3143977.941836497</v>
      </c>
      <c r="M66" s="2" t="n">
        <v>13191611.39719077</v>
      </c>
      <c r="N66" s="3" t="n">
        <v>1</v>
      </c>
      <c r="O66" s="2" t="n">
        <v>3143977.941836497</v>
      </c>
      <c r="P66" s="2" t="n">
        <v>13191611.39719077</v>
      </c>
      <c r="Q66" t="inlineStr"/>
      <c r="R66" s="3" t="n">
        <v>11.9043750779082</v>
      </c>
      <c r="S66" s="3" t="n">
        <v>7.83</v>
      </c>
      <c r="T66" s="3" t="n">
        <v>145.4471589732088</v>
      </c>
      <c r="U66" s="3" t="n">
        <v>145.4471589732088</v>
      </c>
      <c r="V66" t="inlineStr"/>
    </row>
    <row r="67">
      <c r="A67" t="inlineStr">
        <is>
          <t>2026Q2</t>
        </is>
      </c>
      <c r="B67" s="2" t="n">
        <v>19703851</v>
      </c>
      <c r="C67" s="2" t="n">
        <v>1202756</v>
      </c>
      <c r="D67" s="2" t="n">
        <v>3196871</v>
      </c>
      <c r="E67" s="2" t="n">
        <v>1488112</v>
      </c>
      <c r="F67" s="2" t="n">
        <v>4462902</v>
      </c>
      <c r="G67" s="2" t="n">
        <v>524296</v>
      </c>
      <c r="H67" s="2" t="n">
        <v>8828916</v>
      </c>
      <c r="I67" s="3" t="n">
        <v>14.80331009857732</v>
      </c>
      <c r="J67" s="3" t="n">
        <v>8.369999999999999</v>
      </c>
      <c r="K67" s="3" t="n">
        <v>17.40165499044675</v>
      </c>
      <c r="L67" s="2" t="n">
        <v>3479487.230950915</v>
      </c>
      <c r="M67" s="2" t="n">
        <v>13571466.80168385</v>
      </c>
      <c r="N67" s="3" t="n">
        <v>1</v>
      </c>
      <c r="O67" s="2" t="n">
        <v>3479487.230950915</v>
      </c>
      <c r="P67" s="2" t="n">
        <v>13571466.80168385</v>
      </c>
      <c r="Q67" t="inlineStr"/>
      <c r="R67" s="3" t="n">
        <v>12.25485560093638</v>
      </c>
      <c r="S67" s="3" t="n">
        <v>8.390000000000001</v>
      </c>
      <c r="T67" s="3" t="n">
        <v>145.1858615426543</v>
      </c>
      <c r="U67" s="3" t="n">
        <v>145.1858615426543</v>
      </c>
      <c r="V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45" customWidth="1" min="5" max="5"/>
    <col width="38" customWidth="1" min="6" max="6"/>
    <col width="45" customWidth="1" min="7" max="7"/>
    <col width="36" customWidth="1" min="8" max="8"/>
    <col width="42" customWidth="1" min="9" max="9"/>
    <col width="37" customWidth="1" min="10" max="10"/>
    <col width="14" customWidth="1" min="11" max="11"/>
  </cols>
  <sheetData>
    <row r="1">
      <c r="A1" s="1" t="inlineStr">
        <is>
          <t>time</t>
        </is>
      </c>
      <c r="B1" s="1" t="inlineStr">
        <is>
          <t>Xuất khẩu (tỷ USD)</t>
        </is>
      </c>
      <c r="C1" s="1" t="inlineStr">
        <is>
          <t>Nhập khẩu (tỷ USD)</t>
        </is>
      </c>
      <c r="D1" s="1" t="inlineStr">
        <is>
          <t>Cán cân thương mại (tỷ USD)</t>
        </is>
      </c>
      <c r="E1" s="1" t="inlineStr">
        <is>
          <t>Cán cân thương mại lũy kế 12 tháng (tỷ USD)</t>
        </is>
      </c>
      <c r="F1" s="1" t="inlineStr">
        <is>
          <t>Nhập khẩu 12 tháng gần nhất (tỷ USD)</t>
        </is>
      </c>
      <c r="G1" s="1" t="inlineStr">
        <is>
          <t>Số tháng NK - WB công bố (hàng hóa &amp; dịch vụ)</t>
        </is>
      </c>
      <c r="H1" s="1" t="inlineStr">
        <is>
          <t>Dự trữ ngoại hối gồm vàng (tỷ USD)</t>
        </is>
      </c>
      <c r="I1" s="1" t="inlineStr">
        <is>
          <t>Dự trữ ngoại hối không gồm vàng (tỷ USD)</t>
        </is>
      </c>
      <c r="J1" s="1" t="inlineStr">
        <is>
          <t>Dự trữ / số tháng nhập khẩu (tháng)</t>
        </is>
      </c>
      <c r="K1" s="1" t="inlineStr">
        <is>
          <t>Nguồn dự trữ</t>
        </is>
      </c>
    </row>
    <row r="2">
      <c r="A2" t="inlineStr">
        <is>
          <t>2010-01</t>
        </is>
      </c>
      <c r="B2" s="3" t="n">
        <v>5.080877999999999</v>
      </c>
      <c r="C2" s="3" t="n">
        <v>6.062069999999999</v>
      </c>
      <c r="D2" s="3" t="n">
        <v>-0.9811920000000001</v>
      </c>
      <c r="E2" t="inlineStr"/>
      <c r="F2" t="inlineStr"/>
      <c r="G2" t="inlineStr"/>
      <c r="H2" s="3" t="n">
        <v>16.089</v>
      </c>
      <c r="I2" s="3" t="n">
        <v>15.735</v>
      </c>
      <c r="J2" t="inlineStr"/>
      <c r="K2" t="inlineStr">
        <is>
          <t>IMF IL (api.imf.org, IMF.STA:IL 13.0.1) TRGNV_REVS / RXF11_REVS, USD</t>
        </is>
      </c>
    </row>
    <row r="3">
      <c r="A3" t="inlineStr">
        <is>
          <t>2010-02</t>
        </is>
      </c>
      <c r="B3" s="3" t="n">
        <v>3.717254</v>
      </c>
      <c r="C3" s="3" t="n">
        <v>5.113199</v>
      </c>
      <c r="D3" s="3" t="n">
        <v>-1.395945</v>
      </c>
      <c r="E3" t="inlineStr"/>
      <c r="F3" t="inlineStr"/>
      <c r="G3" t="inlineStr"/>
      <c r="H3" s="3" t="n">
        <v>15.852</v>
      </c>
      <c r="I3" s="3" t="n">
        <v>15.492</v>
      </c>
      <c r="J3" t="inlineStr"/>
      <c r="K3" t="inlineStr">
        <is>
          <t>IMF IL (api.imf.org, IMF.STA:IL 13.0.1) TRGNV_REVS / RXF11_REVS, USD</t>
        </is>
      </c>
    </row>
    <row r="4">
      <c r="A4" t="inlineStr">
        <is>
          <t>2010-03</t>
        </is>
      </c>
      <c r="B4" s="3" t="n">
        <v>5.596102</v>
      </c>
      <c r="C4" s="3" t="n">
        <v>6.810268</v>
      </c>
      <c r="D4" s="3" t="n">
        <v>-1.214166</v>
      </c>
      <c r="E4" t="inlineStr"/>
      <c r="F4" t="inlineStr"/>
      <c r="G4" t="inlineStr"/>
      <c r="H4" s="3" t="n">
        <v>14.215</v>
      </c>
      <c r="I4" s="3" t="n">
        <v>13.854</v>
      </c>
      <c r="J4" t="inlineStr"/>
      <c r="K4" t="inlineStr">
        <is>
          <t>IMF IL (api.imf.org, IMF.STA:IL 13.0.1) TRGNV_REVS / RXF11_REVS, USD</t>
        </is>
      </c>
    </row>
    <row r="5">
      <c r="A5" t="inlineStr">
        <is>
          <t>2010-04</t>
        </is>
      </c>
      <c r="B5" s="3" t="n">
        <v>5.458763</v>
      </c>
      <c r="C5" s="3" t="n">
        <v>6.679582</v>
      </c>
      <c r="D5" s="3" t="n">
        <v>-1.220819</v>
      </c>
      <c r="E5" t="inlineStr"/>
      <c r="F5" t="inlineStr"/>
      <c r="G5" t="inlineStr"/>
      <c r="H5" s="3" t="n">
        <v>14.711</v>
      </c>
      <c r="I5" s="3" t="n">
        <v>14.332</v>
      </c>
      <c r="J5" t="inlineStr"/>
      <c r="K5" t="inlineStr">
        <is>
          <t>IMF IL (api.imf.org, IMF.STA:IL 13.0.1) TRGNV_REVS / RXF11_REVS, USD</t>
        </is>
      </c>
    </row>
    <row r="6">
      <c r="A6" t="inlineStr">
        <is>
          <t>2010-05</t>
        </is>
      </c>
      <c r="B6" s="3" t="n">
        <v>6.313409</v>
      </c>
      <c r="C6" s="3" t="n">
        <v>7.206588</v>
      </c>
      <c r="D6" s="3" t="n">
        <v>-0.8931789999999999</v>
      </c>
      <c r="E6" t="inlineStr"/>
      <c r="F6" t="inlineStr"/>
      <c r="G6" t="inlineStr"/>
      <c r="H6" s="3" t="n">
        <v>14.331</v>
      </c>
      <c r="I6" s="3" t="n">
        <v>13.936</v>
      </c>
      <c r="J6" t="inlineStr"/>
      <c r="K6" t="inlineStr">
        <is>
          <t>IMF IL (api.imf.org, IMF.STA:IL 13.0.1) TRGNV_REVS / RXF11_REVS, USD</t>
        </is>
      </c>
    </row>
    <row r="7">
      <c r="A7" t="inlineStr">
        <is>
          <t>2010-06</t>
        </is>
      </c>
      <c r="B7" s="3" t="n">
        <v>6.319171</v>
      </c>
      <c r="C7" s="3" t="n">
        <v>7.070813</v>
      </c>
      <c r="D7" s="3" t="n">
        <v>-0.7516420000000004</v>
      </c>
      <c r="E7" t="inlineStr"/>
      <c r="F7" t="inlineStr"/>
      <c r="G7" t="inlineStr"/>
      <c r="H7" s="3" t="n">
        <v>14.524</v>
      </c>
      <c r="I7" s="3" t="n">
        <v>14.121</v>
      </c>
      <c r="J7" t="inlineStr"/>
      <c r="K7" t="inlineStr">
        <is>
          <t>IMF IL (api.imf.org, IMF.STA:IL 13.0.1) TRGNV_REVS / RXF11_REVS, USD</t>
        </is>
      </c>
    </row>
    <row r="8">
      <c r="A8" t="inlineStr">
        <is>
          <t>2010-07</t>
        </is>
      </c>
      <c r="B8" s="3" t="n">
        <v>6.065993000000001</v>
      </c>
      <c r="C8" s="3" t="n">
        <v>7.097465000000001</v>
      </c>
      <c r="D8" s="3" t="n">
        <v>-1.031472</v>
      </c>
      <c r="E8" t="inlineStr"/>
      <c r="F8" t="inlineStr"/>
      <c r="G8" t="inlineStr"/>
      <c r="H8" s="3" t="n">
        <v>14.296</v>
      </c>
      <c r="I8" s="3" t="n">
        <v>13.917</v>
      </c>
      <c r="J8" t="inlineStr"/>
      <c r="K8" t="inlineStr">
        <is>
          <t>IMF IL (api.imf.org, IMF.STA:IL 13.0.1) TRGNV_REVS / RXF11_REVS, USD</t>
        </is>
      </c>
    </row>
    <row r="9">
      <c r="A9" t="inlineStr">
        <is>
          <t>2010-08</t>
        </is>
      </c>
      <c r="B9" s="3" t="n">
        <v>6.937441</v>
      </c>
      <c r="C9" s="3" t="n">
        <v>7.422264</v>
      </c>
      <c r="D9" s="3" t="n">
        <v>-0.4848230000000004</v>
      </c>
      <c r="E9" t="inlineStr"/>
      <c r="F9" t="inlineStr"/>
      <c r="G9" t="inlineStr"/>
      <c r="H9" s="3" t="n">
        <v>14.129</v>
      </c>
      <c r="I9" s="3" t="n">
        <v>13.727</v>
      </c>
      <c r="J9" t="inlineStr"/>
      <c r="K9" t="inlineStr">
        <is>
          <t>IMF IL (api.imf.org, IMF.STA:IL 13.0.1) TRGNV_REVS / RXF11_REVS, USD</t>
        </is>
      </c>
    </row>
    <row r="10">
      <c r="A10" t="inlineStr">
        <is>
          <t>2010-09</t>
        </is>
      </c>
      <c r="B10" s="3" t="n">
        <v>6.21299</v>
      </c>
      <c r="C10" s="3" t="n">
        <v>7.095602</v>
      </c>
      <c r="D10" s="3" t="n">
        <v>-0.882612</v>
      </c>
      <c r="E10" t="inlineStr"/>
      <c r="F10" t="inlineStr"/>
      <c r="G10" t="inlineStr"/>
      <c r="H10" s="3" t="n">
        <v>14.537</v>
      </c>
      <c r="I10" s="3" t="n">
        <v>14.111</v>
      </c>
      <c r="J10" t="inlineStr"/>
      <c r="K10" t="inlineStr">
        <is>
          <t>IMF IL (api.imf.org, IMF.STA:IL 13.0.1) TRGNV_REVS / RXF11_REVS, USD</t>
        </is>
      </c>
    </row>
    <row r="11">
      <c r="A11" t="inlineStr">
        <is>
          <t>2010-10</t>
        </is>
      </c>
      <c r="B11" s="3" t="n">
        <v>6.282308</v>
      </c>
      <c r="C11" s="3" t="n">
        <v>7.396256999999999</v>
      </c>
      <c r="D11" s="3" t="n">
        <v>-1.113949</v>
      </c>
      <c r="E11" t="inlineStr"/>
      <c r="F11" t="inlineStr"/>
      <c r="G11" t="inlineStr"/>
      <c r="H11" s="3" t="n">
        <v>14.53</v>
      </c>
      <c r="I11" s="3" t="n">
        <v>14.097</v>
      </c>
      <c r="J11" t="inlineStr"/>
      <c r="K11" t="inlineStr">
        <is>
          <t>IMF IL (api.imf.org, IMF.STA:IL 13.0.1) TRGNV_REVS / RXF11_REVS, USD</t>
        </is>
      </c>
    </row>
    <row r="12">
      <c r="A12" t="inlineStr">
        <is>
          <t>2010-11</t>
        </is>
      </c>
      <c r="B12" s="3" t="n">
        <v>6.708892</v>
      </c>
      <c r="C12" s="3" t="n">
        <v>8.055182</v>
      </c>
      <c r="D12" s="3" t="n">
        <v>-1.346290000000001</v>
      </c>
      <c r="E12" t="inlineStr"/>
      <c r="F12" t="inlineStr"/>
      <c r="G12" t="inlineStr"/>
      <c r="H12" s="3" t="n">
        <v>13.742</v>
      </c>
      <c r="I12" s="3" t="n">
        <v>13.298</v>
      </c>
      <c r="J12" t="inlineStr"/>
      <c r="K12" t="inlineStr">
        <is>
          <t>IMF IL (api.imf.org, IMF.STA:IL 13.0.1) TRGNV_REVS / RXF11_REVS, USD</t>
        </is>
      </c>
    </row>
    <row r="13">
      <c r="A13" t="inlineStr">
        <is>
          <t>2010-12</t>
        </is>
      </c>
      <c r="B13" s="3" t="n">
        <v>7.543464</v>
      </c>
      <c r="C13" s="3" t="n">
        <v>8.829262</v>
      </c>
      <c r="D13" s="3" t="n">
        <v>-1.285798</v>
      </c>
      <c r="E13" s="3" t="n">
        <v>-12.601887</v>
      </c>
      <c r="F13" s="3" t="n">
        <v>84.83855199999999</v>
      </c>
      <c r="G13" s="3" t="n">
        <v>1.62</v>
      </c>
      <c r="H13" s="3" t="n">
        <v>12.926</v>
      </c>
      <c r="I13" s="3" t="n">
        <v>12.467</v>
      </c>
      <c r="J13" s="3" t="n">
        <v>1.828319747842938</v>
      </c>
      <c r="K13" t="inlineStr">
        <is>
          <t>IMF IL (api.imf.org, IMF.STA:IL 13.0.1) TRGNV_REVS / RXF11_REVS, USD</t>
        </is>
      </c>
    </row>
    <row r="14">
      <c r="A14" t="inlineStr">
        <is>
          <t>2011-01</t>
        </is>
      </c>
      <c r="B14" s="3" t="n">
        <v>7.360361</v>
      </c>
      <c r="C14" s="3" t="n">
        <v>8.224395000000001</v>
      </c>
      <c r="D14" s="3" t="n">
        <v>-0.8640340000000011</v>
      </c>
      <c r="E14" s="3" t="n">
        <v>-12.484729</v>
      </c>
      <c r="F14" s="3" t="n">
        <v>87.000877</v>
      </c>
      <c r="G14" t="inlineStr"/>
      <c r="H14" s="3" t="n">
        <v>12.593</v>
      </c>
      <c r="I14" s="3" t="n">
        <v>12.158</v>
      </c>
      <c r="J14" s="3" t="n">
        <v>1.736948008006862</v>
      </c>
      <c r="K14" t="inlineStr">
        <is>
          <t>IMF IL (api.imf.org, IMF.STA:IL 13.0.1) TRGNV_REVS / RXF11_REVS, USD</t>
        </is>
      </c>
    </row>
    <row r="15">
      <c r="A15" t="inlineStr">
        <is>
          <t>2011-02</t>
        </is>
      </c>
      <c r="B15" s="3" t="n">
        <v>4.947056</v>
      </c>
      <c r="C15" s="3" t="n">
        <v>6.177283</v>
      </c>
      <c r="D15" s="3" t="n">
        <v>-1.230227</v>
      </c>
      <c r="E15" s="3" t="n">
        <v>-12.319011</v>
      </c>
      <c r="F15" s="3" t="n">
        <v>88.064961</v>
      </c>
      <c r="G15" t="inlineStr"/>
      <c r="H15" s="3" t="n">
        <v>12.421</v>
      </c>
      <c r="I15" s="3" t="n">
        <v>11.964</v>
      </c>
      <c r="J15" s="3" t="n">
        <v>1.692523318099238</v>
      </c>
      <c r="K15" t="inlineStr">
        <is>
          <t>IMF IL (api.imf.org, IMF.STA:IL 13.0.1) TRGNV_REVS / RXF11_REVS, USD</t>
        </is>
      </c>
    </row>
    <row r="16">
      <c r="A16" t="inlineStr">
        <is>
          <t>2011-03</t>
        </is>
      </c>
      <c r="B16" s="3" t="n">
        <v>7.659121</v>
      </c>
      <c r="C16" s="3" t="n">
        <v>9.056544000000001</v>
      </c>
      <c r="D16" s="3" t="n">
        <v>-1.397423000000001</v>
      </c>
      <c r="E16" s="3" t="n">
        <v>-12.502268</v>
      </c>
      <c r="F16" s="3" t="n">
        <v>90.31123700000001</v>
      </c>
      <c r="G16" t="inlineStr"/>
      <c r="H16" s="3" t="n">
        <v>12.682</v>
      </c>
      <c r="I16" s="3" t="n">
        <v>12.22</v>
      </c>
      <c r="J16" s="3" t="n">
        <v>1.685105918768447</v>
      </c>
      <c r="K16" t="inlineStr">
        <is>
          <t>IMF IL (api.imf.org, IMF.STA:IL 13.0.1) TRGNV_REVS / RXF11_REVS, USD</t>
        </is>
      </c>
    </row>
    <row r="17">
      <c r="A17" t="inlineStr">
        <is>
          <t>2011-04</t>
        </is>
      </c>
      <c r="B17" s="3" t="n">
        <v>7.568498</v>
      </c>
      <c r="C17" s="3" t="n">
        <v>9.065758000000001</v>
      </c>
      <c r="D17" s="3" t="n">
        <v>-1.497260000000001</v>
      </c>
      <c r="E17" s="3" t="n">
        <v>-12.778709</v>
      </c>
      <c r="F17" s="3" t="n">
        <v>92.697413</v>
      </c>
      <c r="G17" t="inlineStr"/>
      <c r="H17" s="3" t="n">
        <v>13.107</v>
      </c>
      <c r="I17" s="3" t="n">
        <v>12.609</v>
      </c>
      <c r="J17" s="3" t="n">
        <v>1.696746380613664</v>
      </c>
      <c r="K17" t="inlineStr">
        <is>
          <t>IMF IL (api.imf.org, IMF.STA:IL 13.0.1) TRGNV_REVS / RXF11_REVS, USD</t>
        </is>
      </c>
    </row>
    <row r="18">
      <c r="A18" t="inlineStr">
        <is>
          <t>2011-05</t>
        </is>
      </c>
      <c r="B18" s="3" t="n">
        <v>7.347048</v>
      </c>
      <c r="C18" s="3" t="n">
        <v>9.006781</v>
      </c>
      <c r="D18" s="3" t="n">
        <v>-1.659733</v>
      </c>
      <c r="E18" s="3" t="n">
        <v>-13.545263</v>
      </c>
      <c r="F18" s="3" t="n">
        <v>94.497606</v>
      </c>
      <c r="G18" t="inlineStr"/>
      <c r="H18" s="3" t="n">
        <v>14.04</v>
      </c>
      <c r="I18" s="3" t="n">
        <v>13.541</v>
      </c>
      <c r="J18" s="3" t="n">
        <v>1.782902309715656</v>
      </c>
      <c r="K18" t="inlineStr">
        <is>
          <t>IMF IL (api.imf.org, IMF.STA:IL 13.0.1) TRGNV_REVS / RXF11_REVS, USD</t>
        </is>
      </c>
    </row>
    <row r="19">
      <c r="A19" t="inlineStr">
        <is>
          <t>2011-06</t>
        </is>
      </c>
      <c r="B19" s="3" t="n">
        <v>8.579469999999999</v>
      </c>
      <c r="C19" s="3" t="n">
        <v>8.790739</v>
      </c>
      <c r="D19" s="3" t="n">
        <v>-0.2112690000000015</v>
      </c>
      <c r="E19" s="3" t="n">
        <v>-13.00489</v>
      </c>
      <c r="F19" s="3" t="n">
        <v>96.21753200000001</v>
      </c>
      <c r="G19" t="inlineStr"/>
      <c r="H19" s="3" t="n">
        <v>15.724</v>
      </c>
      <c r="I19" s="3" t="n">
        <v>15.234</v>
      </c>
      <c r="J19" s="3" t="n">
        <v>1.961056328071271</v>
      </c>
      <c r="K19" t="inlineStr">
        <is>
          <t>IMF IL (api.imf.org, IMF.STA:IL 13.0.1) TRGNV_REVS / RXF11_REVS, USD</t>
        </is>
      </c>
    </row>
    <row r="20">
      <c r="A20" t="inlineStr">
        <is>
          <t>2011-07</t>
        </is>
      </c>
      <c r="B20" s="3" t="n">
        <v>9.403096</v>
      </c>
      <c r="C20" s="3" t="n">
        <v>8.402139</v>
      </c>
      <c r="D20" s="3" t="n">
        <v>1.000957</v>
      </c>
      <c r="E20" s="3" t="n">
        <v>-10.972461</v>
      </c>
      <c r="F20" s="3" t="n">
        <v>97.522206</v>
      </c>
      <c r="G20" t="inlineStr"/>
      <c r="H20" s="3" t="n">
        <v>17.567</v>
      </c>
      <c r="I20" s="3" t="n">
        <v>17.042</v>
      </c>
      <c r="J20" s="3" t="n">
        <v>2.161599994979605</v>
      </c>
      <c r="K20" t="inlineStr">
        <is>
          <t>IMF IL (api.imf.org, IMF.STA:IL 13.0.1) TRGNV_REVS / RXF11_REVS, USD</t>
        </is>
      </c>
    </row>
    <row r="21">
      <c r="A21" t="inlineStr">
        <is>
          <t>2011-08</t>
        </is>
      </c>
      <c r="B21" s="3" t="n">
        <v>9.399794999999999</v>
      </c>
      <c r="C21" s="3" t="n">
        <v>10.0754</v>
      </c>
      <c r="D21" s="3" t="n">
        <v>-0.6756050000000009</v>
      </c>
      <c r="E21" s="3" t="n">
        <v>-11.163243</v>
      </c>
      <c r="F21" s="3" t="n">
        <v>100.175342</v>
      </c>
      <c r="G21" t="inlineStr"/>
      <c r="H21" s="3" t="n">
        <v>16.577</v>
      </c>
      <c r="I21" s="3" t="n">
        <v>15.992</v>
      </c>
      <c r="J21" s="3" t="n">
        <v>1.98575813197623</v>
      </c>
      <c r="K21" t="inlineStr">
        <is>
          <t>IMF IL (api.imf.org, IMF.STA:IL 13.0.1) TRGNV_REVS / RXF11_REVS, USD</t>
        </is>
      </c>
    </row>
    <row r="22">
      <c r="A22" t="inlineStr">
        <is>
          <t>2011-09</t>
        </is>
      </c>
      <c r="B22" s="3" t="n">
        <v>8.204342</v>
      </c>
      <c r="C22" s="3" t="n">
        <v>9.782316999999999</v>
      </c>
      <c r="D22" s="3" t="n">
        <v>-1.577974999999999</v>
      </c>
      <c r="E22" s="3" t="n">
        <v>-11.858606</v>
      </c>
      <c r="F22" s="3" t="n">
        <v>102.862057</v>
      </c>
      <c r="G22" t="inlineStr"/>
      <c r="H22" s="3" t="n">
        <v>15.874</v>
      </c>
      <c r="I22" s="3" t="n">
        <v>15.347</v>
      </c>
      <c r="J22" s="3" t="n">
        <v>1.851878190614057</v>
      </c>
      <c r="K22" t="inlineStr">
        <is>
          <t>IMF IL (api.imf.org, IMF.STA:IL 13.0.1) TRGNV_REVS / RXF11_REVS, USD</t>
        </is>
      </c>
    </row>
    <row r="23">
      <c r="A23" t="inlineStr">
        <is>
          <t>2011-10</t>
        </is>
      </c>
      <c r="B23" s="3" t="n">
        <v>8.430129999999998</v>
      </c>
      <c r="C23" s="3" t="n">
        <v>9.237309999999999</v>
      </c>
      <c r="D23" s="3" t="n">
        <v>-0.8071800000000007</v>
      </c>
      <c r="E23" s="3" t="n">
        <v>-11.551837</v>
      </c>
      <c r="F23" s="3" t="n">
        <v>104.70311</v>
      </c>
      <c r="G23" t="inlineStr"/>
      <c r="H23" s="3" t="n">
        <v>15.381</v>
      </c>
      <c r="I23" s="3" t="n">
        <v>14.815</v>
      </c>
      <c r="J23" s="3" t="n">
        <v>1.762812967064684</v>
      </c>
      <c r="K23" t="inlineStr">
        <is>
          <t>IMF IL (api.imf.org, IMF.STA:IL 13.0.1) TRGNV_REVS / RXF11_REVS, USD</t>
        </is>
      </c>
    </row>
    <row r="24">
      <c r="A24" t="inlineStr">
        <is>
          <t>2011-11</t>
        </is>
      </c>
      <c r="B24" s="3" t="n">
        <v>8.929737999999999</v>
      </c>
      <c r="C24" s="3" t="n">
        <v>9.575102999999999</v>
      </c>
      <c r="D24" s="3" t="n">
        <v>-0.645365</v>
      </c>
      <c r="E24" s="3" t="n">
        <v>-10.850912</v>
      </c>
      <c r="F24" s="3" t="n">
        <v>106.223031</v>
      </c>
      <c r="G24" t="inlineStr"/>
      <c r="H24" s="3" t="n">
        <v>14.672</v>
      </c>
      <c r="I24" s="3" t="n">
        <v>14.115</v>
      </c>
      <c r="J24" s="3" t="n">
        <v>1.657493655966191</v>
      </c>
      <c r="K24" t="inlineStr">
        <is>
          <t>IMF IL (api.imf.org, IMF.STA:IL 13.0.1) TRGNV_REVS / RXF11_REVS, USD</t>
        </is>
      </c>
    </row>
    <row r="25">
      <c r="A25" t="inlineStr">
        <is>
          <t>2011-12</t>
        </is>
      </c>
      <c r="B25" s="3" t="n">
        <v>9.077019</v>
      </c>
      <c r="C25" s="3" t="n">
        <v>9.356085999999999</v>
      </c>
      <c r="D25" s="3" t="n">
        <v>-0.2790669999999995</v>
      </c>
      <c r="E25" s="3" t="n">
        <v>-9.844181000000004</v>
      </c>
      <c r="F25" s="3" t="n">
        <v>106.749855</v>
      </c>
      <c r="G25" s="3" t="n">
        <v>1.42</v>
      </c>
      <c r="H25" s="3" t="n">
        <v>14.046</v>
      </c>
      <c r="I25" s="3" t="n">
        <v>13.539</v>
      </c>
      <c r="J25" s="3" t="n">
        <v>1.578943596691537</v>
      </c>
      <c r="K25" t="inlineStr">
        <is>
          <t>IMF IL (api.imf.org, IMF.STA:IL 13.0.1) TRGNV_REVS / RXF11_REVS, USD</t>
        </is>
      </c>
    </row>
    <row r="26">
      <c r="A26" t="inlineStr">
        <is>
          <t>2012-01</t>
        </is>
      </c>
      <c r="B26" s="3" t="n">
        <v>7.032761000000001</v>
      </c>
      <c r="C26" s="3" t="n">
        <v>7.001908</v>
      </c>
      <c r="D26" s="3" t="n">
        <v>0.03085300000000046</v>
      </c>
      <c r="E26" s="3" t="n">
        <v>-8.949294000000002</v>
      </c>
      <c r="F26" s="3" t="n">
        <v>105.527368</v>
      </c>
      <c r="G26" t="inlineStr"/>
      <c r="H26" s="3" t="n">
        <v>14.646</v>
      </c>
      <c r="I26" s="3" t="n">
        <v>14.133</v>
      </c>
      <c r="J26" s="3" t="n">
        <v>1.665463692792944</v>
      </c>
      <c r="K26" t="inlineStr">
        <is>
          <t>IMF IL (api.imf.org, IMF.STA:IL 13.0.1) TRGNV_REVS / RXF11_REVS, USD</t>
        </is>
      </c>
    </row>
    <row r="27">
      <c r="A27" t="inlineStr">
        <is>
          <t>2012-02</t>
        </is>
      </c>
      <c r="B27" s="3" t="n">
        <v>8.267037</v>
      </c>
      <c r="C27" s="3" t="n">
        <v>8.762117</v>
      </c>
      <c r="D27" s="3" t="n">
        <v>-0.4950799999999997</v>
      </c>
      <c r="E27" s="3" t="n">
        <v>-8.214147000000002</v>
      </c>
      <c r="F27" s="3" t="n">
        <v>108.112202</v>
      </c>
      <c r="G27" t="inlineStr"/>
      <c r="H27" s="3" t="n">
        <v>15.343</v>
      </c>
      <c r="I27" s="3" t="n">
        <v>14.768</v>
      </c>
      <c r="J27" s="3" t="n">
        <v>1.703008509622254</v>
      </c>
      <c r="K27" t="inlineStr">
        <is>
          <t>IMF IL (api.imf.org, IMF.STA:IL 13.0.1) TRGNV_REVS / RXF11_REVS, USD</t>
        </is>
      </c>
    </row>
    <row r="28">
      <c r="A28" t="inlineStr">
        <is>
          <t>2012-03</t>
        </is>
      </c>
      <c r="B28" s="3" t="n">
        <v>9.553984</v>
      </c>
      <c r="C28" s="3" t="n">
        <v>9.282571000000001</v>
      </c>
      <c r="D28" s="3" t="n">
        <v>0.271412999999999</v>
      </c>
      <c r="E28" s="3" t="n">
        <v>-6.545311000000002</v>
      </c>
      <c r="F28" s="3" t="n">
        <v>108.338229</v>
      </c>
      <c r="G28" t="inlineStr"/>
      <c r="H28" s="3" t="n">
        <v>18.34</v>
      </c>
      <c r="I28" s="3" t="n">
        <v>17.799</v>
      </c>
      <c r="J28" s="3" t="n">
        <v>2.031415891060948</v>
      </c>
      <c r="K28" t="inlineStr">
        <is>
          <t>IMF IL (api.imf.org, IMF.STA:IL 13.0.1) TRGNV_REVS / RXF11_REVS, USD</t>
        </is>
      </c>
    </row>
    <row r="29">
      <c r="A29" t="inlineStr">
        <is>
          <t>2012-04</t>
        </is>
      </c>
      <c r="B29" s="3" t="n">
        <v>8.892799999999999</v>
      </c>
      <c r="C29" s="3" t="n">
        <v>9.009915999999999</v>
      </c>
      <c r="D29" s="3" t="n">
        <v>-0.1171159999999993</v>
      </c>
      <c r="E29" s="3" t="n">
        <v>-5.165167</v>
      </c>
      <c r="F29" s="3" t="n">
        <v>108.282387</v>
      </c>
      <c r="G29" t="inlineStr"/>
      <c r="H29" s="3" t="n">
        <v>20.417</v>
      </c>
      <c r="I29" s="3" t="n">
        <v>19.882</v>
      </c>
      <c r="J29" s="3" t="n">
        <v>2.262639444769536</v>
      </c>
      <c r="K29" t="inlineStr">
        <is>
          <t>IMF IL (api.imf.org, IMF.STA:IL 13.0.1) TRGNV_REVS / RXF11_REVS, USD</t>
        </is>
      </c>
    </row>
    <row r="30">
      <c r="A30" t="inlineStr">
        <is>
          <t>2012-05</t>
        </is>
      </c>
      <c r="B30" s="3" t="n">
        <v>9.657888999999999</v>
      </c>
      <c r="C30" s="3" t="n">
        <v>10.347117</v>
      </c>
      <c r="D30" s="3" t="n">
        <v>-0.6892280000000017</v>
      </c>
      <c r="E30" s="3" t="n">
        <v>-4.194662000000003</v>
      </c>
      <c r="F30" s="3" t="n">
        <v>109.622723</v>
      </c>
      <c r="G30" t="inlineStr"/>
      <c r="H30" s="3" t="n">
        <v>20.831</v>
      </c>
      <c r="I30" s="3" t="n">
        <v>20.326</v>
      </c>
      <c r="J30" s="3" t="n">
        <v>2.280293657730068</v>
      </c>
      <c r="K30" t="inlineStr">
        <is>
          <t>IMF IL (api.imf.org, IMF.STA:IL 13.0.1) TRGNV_REVS / RXF11_REVS, USD</t>
        </is>
      </c>
    </row>
    <row r="31">
      <c r="A31" t="inlineStr">
        <is>
          <t>2012-06</t>
        </is>
      </c>
      <c r="B31" s="3" t="n">
        <v>10.044178</v>
      </c>
      <c r="C31" s="3" t="n">
        <v>9.629776</v>
      </c>
      <c r="D31" s="3" t="n">
        <v>0.4144020000000008</v>
      </c>
      <c r="E31" s="3" t="n">
        <v>-3.568991</v>
      </c>
      <c r="F31" s="3" t="n">
        <v>110.46176</v>
      </c>
      <c r="G31" t="inlineStr"/>
      <c r="H31" s="3" t="n">
        <v>20.623</v>
      </c>
      <c r="I31" s="3" t="n">
        <v>20.11</v>
      </c>
      <c r="J31" s="3" t="n">
        <v>2.240377122363432</v>
      </c>
      <c r="K31" t="inlineStr">
        <is>
          <t>IMF IL (api.imf.org, IMF.STA:IL 13.0.1) TRGNV_REVS / RXF11_REVS, USD</t>
        </is>
      </c>
    </row>
    <row r="32">
      <c r="A32" t="inlineStr">
        <is>
          <t>2012-07</t>
        </is>
      </c>
      <c r="B32" s="3" t="n">
        <v>10.200197</v>
      </c>
      <c r="C32" s="3" t="n">
        <v>9.859370999999999</v>
      </c>
      <c r="D32" s="3" t="n">
        <v>0.3408259999999999</v>
      </c>
      <c r="E32" s="3" t="n">
        <v>-4.229122</v>
      </c>
      <c r="F32" s="3" t="n">
        <v>111.918992</v>
      </c>
      <c r="G32" t="inlineStr"/>
      <c r="H32" s="3" t="n">
        <v>20.965</v>
      </c>
      <c r="I32" s="3" t="n">
        <v>20.437</v>
      </c>
      <c r="J32" s="3" t="n">
        <v>2.24787585649449</v>
      </c>
      <c r="K32" t="inlineStr">
        <is>
          <t>IMF IL (api.imf.org, IMF.STA:IL 13.0.1) TRGNV_REVS / RXF11_REVS, USD</t>
        </is>
      </c>
    </row>
    <row r="33">
      <c r="A33" t="inlineStr">
        <is>
          <t>2012-08</t>
        </is>
      </c>
      <c r="B33" s="3" t="n">
        <v>10.322623</v>
      </c>
      <c r="C33" s="3" t="n">
        <v>10.399285</v>
      </c>
      <c r="D33" s="3" t="n">
        <v>-0.0766619999999989</v>
      </c>
      <c r="E33" s="3" t="n">
        <v>-3.630178999999998</v>
      </c>
      <c r="F33" s="3" t="n">
        <v>112.242877</v>
      </c>
      <c r="G33" t="inlineStr"/>
      <c r="H33" s="3" t="n">
        <v>21.722</v>
      </c>
      <c r="I33" s="3" t="n">
        <v>21.182</v>
      </c>
      <c r="J33" s="3" t="n">
        <v>2.322321085907305</v>
      </c>
      <c r="K33" t="inlineStr">
        <is>
          <t>IMF IL (api.imf.org, IMF.STA:IL 13.0.1) TRGNV_REVS / RXF11_REVS, USD</t>
        </is>
      </c>
    </row>
    <row r="34">
      <c r="A34" t="inlineStr">
        <is>
          <t>2012-09</t>
        </is>
      </c>
      <c r="B34" s="3" t="n">
        <v>9.413482999999999</v>
      </c>
      <c r="C34" s="3" t="n">
        <v>9.328501000000001</v>
      </c>
      <c r="D34" s="3" t="n">
        <v>0.08498199999999834</v>
      </c>
      <c r="E34" s="3" t="n">
        <v>-1.967222000000001</v>
      </c>
      <c r="F34" s="3" t="n">
        <v>111.789061</v>
      </c>
      <c r="G34" t="inlineStr"/>
      <c r="H34" s="3" t="n">
        <v>22.244</v>
      </c>
      <c r="I34" s="3" t="n">
        <v>21.673</v>
      </c>
      <c r="J34" s="3" t="n">
        <v>2.387782826085282</v>
      </c>
      <c r="K34" t="inlineStr">
        <is>
          <t>IMF IL (api.imf.org, IMF.STA:IL 13.0.1) TRGNV_REVS / RXF11_REVS, USD</t>
        </is>
      </c>
    </row>
    <row r="35">
      <c r="A35" t="inlineStr">
        <is>
          <t>2012-10</t>
        </is>
      </c>
      <c r="B35" s="3" t="n">
        <v>10.378197</v>
      </c>
      <c r="C35" s="3" t="n">
        <v>10.298725</v>
      </c>
      <c r="D35" s="3" t="n">
        <v>0.0794719999999991</v>
      </c>
      <c r="E35" s="3" t="n">
        <v>-1.080570000000002</v>
      </c>
      <c r="F35" s="3" t="n">
        <v>112.850476</v>
      </c>
      <c r="G35" t="inlineStr"/>
      <c r="H35" s="3" t="n">
        <v>22.344</v>
      </c>
      <c r="I35" s="3" t="n">
        <v>21.787</v>
      </c>
      <c r="J35" s="3" t="n">
        <v>2.375958077482987</v>
      </c>
      <c r="K35" t="inlineStr">
        <is>
          <t>IMF IL (api.imf.org, IMF.STA:IL 13.0.1) TRGNV_REVS / RXF11_REVS, USD</t>
        </is>
      </c>
    </row>
    <row r="36">
      <c r="A36" t="inlineStr">
        <is>
          <t>2012-11</t>
        </is>
      </c>
      <c r="B36" s="3" t="n">
        <v>10.4306</v>
      </c>
      <c r="C36" s="3" t="n">
        <v>10.014374</v>
      </c>
      <c r="D36" s="3" t="n">
        <v>0.416226</v>
      </c>
      <c r="E36" s="3" t="n">
        <v>-0.01897900000000163</v>
      </c>
      <c r="F36" s="3" t="n">
        <v>113.289747</v>
      </c>
      <c r="G36" t="inlineStr"/>
      <c r="H36" s="3" t="n">
        <v>24.126</v>
      </c>
      <c r="I36" s="3" t="n">
        <v>23.566</v>
      </c>
      <c r="J36" s="3" t="n">
        <v>2.555500454952909</v>
      </c>
      <c r="K36" t="inlineStr">
        <is>
          <t>IMF IL (api.imf.org, IMF.STA:IL 13.0.1) TRGNV_REVS / RXF11_REVS, USD</t>
        </is>
      </c>
    </row>
    <row r="37">
      <c r="A37" t="inlineStr">
        <is>
          <t>2012-12</t>
        </is>
      </c>
      <c r="B37" s="3" t="n">
        <v>10.335421</v>
      </c>
      <c r="C37" s="3" t="n">
        <v>9.846771</v>
      </c>
      <c r="D37" s="3" t="n">
        <v>0.4886499999999998</v>
      </c>
      <c r="E37" s="3" t="n">
        <v>0.7487379999999977</v>
      </c>
      <c r="F37" s="3" t="n">
        <v>113.780432</v>
      </c>
      <c r="G37" s="3" t="n">
        <v>2.49</v>
      </c>
      <c r="H37" s="3" t="n">
        <v>26.113</v>
      </c>
      <c r="I37" s="3" t="n">
        <v>25.573</v>
      </c>
      <c r="J37" s="3" t="n">
        <v>2.754041222132115</v>
      </c>
      <c r="K37" t="inlineStr">
        <is>
          <t>IMF IL (api.imf.org, IMF.STA:IL 13.0.1) TRGNV_REVS / RXF11_REVS, USD</t>
        </is>
      </c>
    </row>
    <row r="38">
      <c r="A38" t="inlineStr">
        <is>
          <t>2013-01</t>
        </is>
      </c>
      <c r="B38" s="3" t="n">
        <v>11.553954</v>
      </c>
      <c r="C38" s="3" t="n">
        <v>10.587848</v>
      </c>
      <c r="D38" s="3" t="n">
        <v>0.9661059999999999</v>
      </c>
      <c r="E38" s="3" t="n">
        <v>1.683990999999997</v>
      </c>
      <c r="F38" s="3" t="n">
        <v>117.366372</v>
      </c>
      <c r="G38" t="inlineStr"/>
      <c r="H38" s="3" t="n">
        <v>28.781</v>
      </c>
      <c r="I38" s="3" t="n">
        <v>28.24</v>
      </c>
      <c r="J38" s="3" t="n">
        <v>2.942682764361158</v>
      </c>
      <c r="K38" t="inlineStr">
        <is>
          <t>IMF IL (api.imf.org, IMF.STA:IL 13.0.1) TRGNV_REVS / RXF11_REVS, USD</t>
        </is>
      </c>
    </row>
    <row r="39">
      <c r="A39" t="inlineStr">
        <is>
          <t>2013-02</t>
        </is>
      </c>
      <c r="B39" s="3" t="n">
        <v>7.204153</v>
      </c>
      <c r="C39" s="3" t="n">
        <v>7.207819000000001</v>
      </c>
      <c r="D39" s="3" t="n">
        <v>-0.003666000000000835</v>
      </c>
      <c r="E39" s="3" t="n">
        <v>2.175404999999996</v>
      </c>
      <c r="F39" s="3" t="n">
        <v>115.812074</v>
      </c>
      <c r="G39" t="inlineStr"/>
      <c r="H39" s="3" t="n">
        <v>29.149</v>
      </c>
      <c r="I39" s="3" t="n">
        <v>28.624</v>
      </c>
      <c r="J39" s="3" t="n">
        <v>3.020306846417412</v>
      </c>
      <c r="K39" t="inlineStr">
        <is>
          <t>IMF IL (api.imf.org, IMF.STA:IL 13.0.1) TRGNV_REVS / RXF11_REVS, USD</t>
        </is>
      </c>
    </row>
    <row r="40">
      <c r="A40" t="inlineStr">
        <is>
          <t>2013-03</t>
        </is>
      </c>
      <c r="B40" s="3" t="n">
        <v>10.449807</v>
      </c>
      <c r="C40" s="3" t="n">
        <v>10.959244</v>
      </c>
      <c r="D40" s="3" t="n">
        <v>-0.5094370000000001</v>
      </c>
      <c r="E40" s="3" t="n">
        <v>1.394554999999997</v>
      </c>
      <c r="F40" s="3" t="n">
        <v>117.488747</v>
      </c>
      <c r="G40" t="inlineStr"/>
      <c r="H40" s="3" t="n">
        <v>28.867</v>
      </c>
      <c r="I40" s="3" t="n">
        <v>28.444</v>
      </c>
      <c r="J40" s="3" t="n">
        <v>2.948401517976866</v>
      </c>
      <c r="K40" t="inlineStr">
        <is>
          <t>IMF IL (api.imf.org, IMF.STA:IL 13.0.1) TRGNV_REVS / RXF11_REVS, USD</t>
        </is>
      </c>
    </row>
    <row r="41">
      <c r="A41" t="inlineStr">
        <is>
          <t>2013-04</t>
        </is>
      </c>
      <c r="B41" s="3" t="n">
        <v>9.899122999999999</v>
      </c>
      <c r="C41" s="3" t="n">
        <v>10.854041</v>
      </c>
      <c r="D41" s="3" t="n">
        <v>-0.9549179999999993</v>
      </c>
      <c r="E41" s="3" t="n">
        <v>0.5567529999999969</v>
      </c>
      <c r="F41" s="3" t="n">
        <v>119.332872</v>
      </c>
      <c r="G41" t="inlineStr"/>
      <c r="H41" s="3" t="n">
        <v>28.015</v>
      </c>
      <c r="I41" s="3" t="n">
        <v>27.556</v>
      </c>
      <c r="J41" s="3" t="n">
        <v>2.817161728915734</v>
      </c>
      <c r="K41" t="inlineStr">
        <is>
          <t>IMF IL (api.imf.org, IMF.STA:IL 13.0.1) TRGNV_REVS / RXF11_REVS, USD</t>
        </is>
      </c>
    </row>
    <row r="42">
      <c r="A42" t="inlineStr">
        <is>
          <t>2013-05</t>
        </is>
      </c>
      <c r="B42" s="3" t="n">
        <v>11.599244</v>
      </c>
      <c r="C42" s="3" t="n">
        <v>12.283259</v>
      </c>
      <c r="D42" s="3" t="n">
        <v>-0.6840149999999987</v>
      </c>
      <c r="E42" s="3" t="n">
        <v>0.561966</v>
      </c>
      <c r="F42" s="3" t="n">
        <v>121.269014</v>
      </c>
      <c r="G42" t="inlineStr"/>
      <c r="H42" s="3" t="n">
        <v>27.013</v>
      </c>
      <c r="I42" s="3" t="n">
        <v>26.646</v>
      </c>
      <c r="J42" s="3" t="n">
        <v>2.673032370824752</v>
      </c>
      <c r="K42" t="inlineStr">
        <is>
          <t>IMF IL (api.imf.org, IMF.STA:IL 13.0.1) TRGNV_REVS / RXF11_REVS, USD</t>
        </is>
      </c>
    </row>
    <row r="43">
      <c r="A43" t="inlineStr">
        <is>
          <t>2013-06</t>
        </is>
      </c>
      <c r="B43" s="3" t="n">
        <v>10.981103</v>
      </c>
      <c r="C43" s="3" t="n">
        <v>10.783847</v>
      </c>
      <c r="D43" s="3" t="n">
        <v>0.1972559999999994</v>
      </c>
      <c r="E43" s="3" t="n">
        <v>0.3448199999999986</v>
      </c>
      <c r="F43" s="3" t="n">
        <v>122.423085</v>
      </c>
      <c r="G43" t="inlineStr"/>
      <c r="H43" s="3" t="n">
        <v>25.297</v>
      </c>
      <c r="I43" s="3" t="n">
        <v>24.935</v>
      </c>
      <c r="J43" s="3" t="n">
        <v>2.479630373634189</v>
      </c>
      <c r="K43" t="inlineStr">
        <is>
          <t>IMF IL (api.imf.org, IMF.STA:IL 13.0.1) TRGNV_REVS / RXF11_REVS, USD</t>
        </is>
      </c>
    </row>
    <row r="44">
      <c r="A44" t="inlineStr">
        <is>
          <t>2013-07</t>
        </is>
      </c>
      <c r="B44" s="3" t="n">
        <v>11.516273</v>
      </c>
      <c r="C44" s="3" t="n">
        <v>11.136588</v>
      </c>
      <c r="D44" s="3" t="n">
        <v>0.3796850000000003</v>
      </c>
      <c r="E44" s="3" t="n">
        <v>0.383678999999999</v>
      </c>
      <c r="F44" s="3" t="n">
        <v>123.700302</v>
      </c>
      <c r="G44" t="inlineStr"/>
      <c r="H44" s="3" t="n">
        <v>23.596</v>
      </c>
      <c r="I44" s="3" t="n">
        <v>23.22</v>
      </c>
      <c r="J44" s="3" t="n">
        <v>2.289016238618399</v>
      </c>
      <c r="K44" t="inlineStr">
        <is>
          <t>IMF IL (api.imf.org, IMF.STA:IL 13.0.1) TRGNV_REVS / RXF11_REVS, USD</t>
        </is>
      </c>
    </row>
    <row r="45">
      <c r="A45" t="inlineStr">
        <is>
          <t>2013-08</t>
        </is>
      </c>
      <c r="B45" s="3" t="n">
        <v>11.792092</v>
      </c>
      <c r="C45" s="3" t="n">
        <v>11.283907</v>
      </c>
      <c r="D45" s="3" t="n">
        <v>0.508185000000001</v>
      </c>
      <c r="E45" s="3" t="n">
        <v>0.9685259999999989</v>
      </c>
      <c r="F45" s="3" t="n">
        <v>124.584924</v>
      </c>
      <c r="G45" t="inlineStr"/>
      <c r="H45" s="3" t="n">
        <v>25.443</v>
      </c>
      <c r="I45" s="3" t="n">
        <v>25.013</v>
      </c>
      <c r="J45" s="3" t="n">
        <v>2.450665700129175</v>
      </c>
      <c r="K45" t="inlineStr">
        <is>
          <t>IMF IL (api.imf.org, IMF.STA:IL 13.0.1) TRGNV_REVS / RXF11_REVS, USD</t>
        </is>
      </c>
    </row>
    <row r="46">
      <c r="A46" t="inlineStr">
        <is>
          <t>2013-09</t>
        </is>
      </c>
      <c r="B46" s="3" t="n">
        <v>11.046395</v>
      </c>
      <c r="C46" s="3" t="n">
        <v>11.356886</v>
      </c>
      <c r="D46" s="3" t="n">
        <v>-0.3104910000000007</v>
      </c>
      <c r="E46" s="3" t="n">
        <v>0.5730529999999998</v>
      </c>
      <c r="F46" s="3" t="n">
        <v>126.613309</v>
      </c>
      <c r="G46" t="inlineStr"/>
      <c r="H46" s="3" t="n">
        <v>24.858</v>
      </c>
      <c r="I46" s="3" t="n">
        <v>24.437</v>
      </c>
      <c r="J46" s="3" t="n">
        <v>2.355960857163918</v>
      </c>
      <c r="K46" t="inlineStr">
        <is>
          <t>IMF IL (api.imf.org, IMF.STA:IL 13.0.1) TRGNV_REVS / RXF11_REVS, USD</t>
        </is>
      </c>
    </row>
    <row r="47">
      <c r="A47" t="inlineStr">
        <is>
          <t>2013-10</t>
        </is>
      </c>
      <c r="B47" s="3" t="n">
        <v>12.510169</v>
      </c>
      <c r="C47" s="3" t="n">
        <v>12.498867</v>
      </c>
      <c r="D47" s="3" t="n">
        <v>0.01130199999999881</v>
      </c>
      <c r="E47" s="3" t="n">
        <v>0.5048829999999995</v>
      </c>
      <c r="F47" s="3" t="n">
        <v>128.813451</v>
      </c>
      <c r="G47" t="inlineStr"/>
      <c r="H47" s="3" t="n">
        <v>25.719</v>
      </c>
      <c r="I47" s="3" t="n">
        <v>25.282</v>
      </c>
      <c r="J47" s="3" t="n">
        <v>2.395929909524744</v>
      </c>
      <c r="K47" t="inlineStr">
        <is>
          <t>IMF IL (api.imf.org, IMF.STA:IL 13.0.1) TRGNV_REVS / RXF11_REVS, USD</t>
        </is>
      </c>
    </row>
    <row r="48">
      <c r="A48" t="inlineStr">
        <is>
          <t>2013-11</t>
        </is>
      </c>
      <c r="B48" s="3" t="n">
        <v>11.939169</v>
      </c>
      <c r="C48" s="3" t="n">
        <v>10.96411</v>
      </c>
      <c r="D48" s="3" t="n">
        <v>0.9750589999999999</v>
      </c>
      <c r="E48" s="3" t="n">
        <v>1.063715999999999</v>
      </c>
      <c r="F48" s="3" t="n">
        <v>129.763187</v>
      </c>
      <c r="G48" t="inlineStr"/>
      <c r="H48" s="3" t="n">
        <v>26.133</v>
      </c>
      <c r="I48" s="3" t="n">
        <v>25.75</v>
      </c>
      <c r="J48" s="3" t="n">
        <v>2.416679238927756</v>
      </c>
      <c r="K48" t="inlineStr">
        <is>
          <t>IMF IL (api.imf.org, IMF.STA:IL 13.0.1) TRGNV_REVS / RXF11_REVS, USD</t>
        </is>
      </c>
    </row>
    <row r="49">
      <c r="A49" t="inlineStr">
        <is>
          <t>2013-12</t>
        </is>
      </c>
      <c r="B49" s="3" t="n">
        <v>11.541372</v>
      </c>
      <c r="C49" s="3" t="n">
        <v>12.116141</v>
      </c>
      <c r="D49" s="3" t="n">
        <v>-0.5747689999999999</v>
      </c>
      <c r="E49" s="3" t="n">
        <v>0.0002969999999997697</v>
      </c>
      <c r="F49" s="3" t="n">
        <v>132.032557</v>
      </c>
      <c r="G49" s="3" t="n">
        <v>2.15</v>
      </c>
      <c r="H49" s="3" t="n">
        <v>26.287</v>
      </c>
      <c r="I49" s="3" t="n">
        <v>25.893</v>
      </c>
      <c r="J49" s="3" t="n">
        <v>2.389138006317639</v>
      </c>
      <c r="K49" t="inlineStr">
        <is>
          <t>IMF IL (api.imf.org, IMF.STA:IL 13.0.1) TRGNV_REVS / RXF11_REVS, USD</t>
        </is>
      </c>
    </row>
    <row r="50">
      <c r="A50" t="inlineStr">
        <is>
          <t>2014-01</t>
        </is>
      </c>
      <c r="B50" s="3" t="n">
        <v>11.756341</v>
      </c>
      <c r="C50" s="3" t="n">
        <v>9.892473000000001</v>
      </c>
      <c r="D50" s="3" t="n">
        <v>1.863868</v>
      </c>
      <c r="E50" s="3" t="n">
        <v>0.8980589999999999</v>
      </c>
      <c r="F50" s="3" t="n">
        <v>131.337182</v>
      </c>
      <c r="G50" t="inlineStr"/>
      <c r="H50" s="3" t="n">
        <v>29.505</v>
      </c>
      <c r="I50" s="3" t="n">
        <v>29.095</v>
      </c>
      <c r="J50" s="3" t="n">
        <v>2.695809325343984</v>
      </c>
      <c r="K50" t="inlineStr">
        <is>
          <t>IMF IL (api.imf.org, IMF.STA:IL 13.0.1) TRGNV_REVS / RXF11_REVS, USD</t>
        </is>
      </c>
    </row>
    <row r="51">
      <c r="A51" t="inlineStr">
        <is>
          <t>2014-02</t>
        </is>
      </c>
      <c r="B51" s="3" t="n">
        <v>9.444087999999999</v>
      </c>
      <c r="C51" s="3" t="n">
        <v>9.955832000000001</v>
      </c>
      <c r="D51" s="3" t="n">
        <v>-0.511744000000002</v>
      </c>
      <c r="E51" s="3" t="n">
        <v>0.3899809999999988</v>
      </c>
      <c r="F51" s="3" t="n">
        <v>134.085195</v>
      </c>
      <c r="G51" t="inlineStr"/>
      <c r="H51" s="3" t="n">
        <v>30.435</v>
      </c>
      <c r="I51" s="3" t="n">
        <v>30.003</v>
      </c>
      <c r="J51" s="3" t="n">
        <v>2.72379064668549</v>
      </c>
      <c r="K51" t="inlineStr">
        <is>
          <t>IMF IL (api.imf.org, IMF.STA:IL 13.0.1) TRGNV_REVS / RXF11_REVS, USD</t>
        </is>
      </c>
    </row>
    <row r="52">
      <c r="A52" t="inlineStr">
        <is>
          <t>2014-03</t>
        </is>
      </c>
      <c r="B52" s="3" t="n">
        <v>12.183468</v>
      </c>
      <c r="C52" s="3" t="n">
        <v>12.411311</v>
      </c>
      <c r="D52" s="3" t="n">
        <v>-0.2278429999999982</v>
      </c>
      <c r="E52" s="3" t="n">
        <v>0.6715750000000007</v>
      </c>
      <c r="F52" s="3" t="n">
        <v>135.537262</v>
      </c>
      <c r="G52" t="inlineStr"/>
      <c r="H52" s="3" t="n">
        <v>34.175</v>
      </c>
      <c r="I52" s="3" t="n">
        <v>33.754</v>
      </c>
      <c r="J52" s="3" t="n">
        <v>3.025736199392902</v>
      </c>
      <c r="K52" t="inlineStr">
        <is>
          <t>IMF IL (api.imf.org, IMF.STA:IL 13.0.1) TRGNV_REVS / RXF11_REVS, USD</t>
        </is>
      </c>
    </row>
    <row r="53">
      <c r="A53" t="inlineStr">
        <is>
          <t>2014-04</t>
        </is>
      </c>
      <c r="B53" s="3" t="n">
        <v>13.123731</v>
      </c>
      <c r="C53" s="3" t="n">
        <v>12.128798</v>
      </c>
      <c r="D53" s="3" t="n">
        <v>0.9949329999999978</v>
      </c>
      <c r="E53" s="3" t="n">
        <v>2.621425999999998</v>
      </c>
      <c r="F53" s="3" t="n">
        <v>136.812019</v>
      </c>
      <c r="G53" t="inlineStr"/>
      <c r="H53" s="3" t="n">
        <v>36.321</v>
      </c>
      <c r="I53" s="3" t="n">
        <v>35.897</v>
      </c>
      <c r="J53" s="3" t="n">
        <v>3.185772735361796</v>
      </c>
      <c r="K53" t="inlineStr">
        <is>
          <t>IMF IL (api.imf.org, IMF.STA:IL 13.0.1) TRGNV_REVS / RXF11_REVS, USD</t>
        </is>
      </c>
    </row>
    <row r="54">
      <c r="A54" t="inlineStr">
        <is>
          <t>2014-05</t>
        </is>
      </c>
      <c r="B54" s="3" t="n">
        <v>12.386322</v>
      </c>
      <c r="C54" s="3" t="n">
        <v>12.747489</v>
      </c>
      <c r="D54" s="3" t="n">
        <v>-0.361167</v>
      </c>
      <c r="E54" s="3" t="n">
        <v>2.944273999999997</v>
      </c>
      <c r="F54" s="3" t="n">
        <v>137.276249</v>
      </c>
      <c r="G54" t="inlineStr"/>
      <c r="H54" s="3" t="n">
        <v>36.089</v>
      </c>
      <c r="I54" s="3" t="n">
        <v>35.682</v>
      </c>
      <c r="J54" s="3" t="n">
        <v>3.154719065786828</v>
      </c>
      <c r="K54" t="inlineStr">
        <is>
          <t>IMF IL (api.imf.org, IMF.STA:IL 13.0.1) TRGNV_REVS / RXF11_REVS, USD</t>
        </is>
      </c>
    </row>
    <row r="55">
      <c r="A55" t="inlineStr">
        <is>
          <t>2014-06</t>
        </is>
      </c>
      <c r="B55" s="3" t="n">
        <v>12.267766</v>
      </c>
      <c r="C55" s="3" t="n">
        <v>12.109453</v>
      </c>
      <c r="D55" s="3" t="n">
        <v>0.1583129999999997</v>
      </c>
      <c r="E55" s="3" t="n">
        <v>2.905330999999997</v>
      </c>
      <c r="F55" s="3" t="n">
        <v>138.601855</v>
      </c>
      <c r="G55" t="inlineStr"/>
      <c r="H55" s="3" t="n">
        <v>36.228</v>
      </c>
      <c r="I55" s="3" t="n">
        <v>35.799</v>
      </c>
      <c r="J55" s="3" t="n">
        <v>3.13658139712488</v>
      </c>
      <c r="K55" t="inlineStr">
        <is>
          <t>IMF IL (api.imf.org, IMF.STA:IL 13.0.1) TRGNV_REVS / RXF11_REVS, USD</t>
        </is>
      </c>
    </row>
    <row r="56">
      <c r="A56" t="inlineStr">
        <is>
          <t>2014-07</t>
        </is>
      </c>
      <c r="B56" s="3" t="n">
        <v>13.086913</v>
      </c>
      <c r="C56" s="3" t="n">
        <v>12.887152</v>
      </c>
      <c r="D56" s="3" t="n">
        <v>0.1997610000000005</v>
      </c>
      <c r="E56" s="3" t="n">
        <v>2.725406999999997</v>
      </c>
      <c r="F56" s="3" t="n">
        <v>140.352419</v>
      </c>
      <c r="G56" t="inlineStr"/>
      <c r="H56" s="3" t="n">
        <v>36.502</v>
      </c>
      <c r="I56" s="3" t="n">
        <v>36.079</v>
      </c>
      <c r="J56" s="3" t="n">
        <v>3.120886715889093</v>
      </c>
      <c r="K56" t="inlineStr">
        <is>
          <t>IMF IL (api.imf.org, IMF.STA:IL 13.0.1) TRGNV_REVS / RXF11_REVS, USD</t>
        </is>
      </c>
    </row>
    <row r="57">
      <c r="A57" t="inlineStr">
        <is>
          <t>2014-08</t>
        </is>
      </c>
      <c r="B57" s="3" t="n">
        <v>13.241463</v>
      </c>
      <c r="C57" s="3" t="n">
        <v>12.304554</v>
      </c>
      <c r="D57" s="3" t="n">
        <v>0.936909</v>
      </c>
      <c r="E57" s="3" t="n">
        <v>3.154130999999996</v>
      </c>
      <c r="F57" s="3" t="n">
        <v>141.373066</v>
      </c>
      <c r="G57" t="inlineStr"/>
      <c r="H57" s="3" t="n">
        <v>37.392</v>
      </c>
      <c r="I57" s="3" t="n">
        <v>36.973</v>
      </c>
      <c r="J57" s="3" t="n">
        <v>3.173900182655726</v>
      </c>
      <c r="K57" t="inlineStr">
        <is>
          <t>IMF IL (api.imf.org, IMF.STA:IL 13.0.1) TRGNV_REVS / RXF11_REVS, USD</t>
        </is>
      </c>
    </row>
    <row r="58">
      <c r="A58" t="inlineStr">
        <is>
          <t>2014-09</t>
        </is>
      </c>
      <c r="B58" s="3" t="n">
        <v>12.59224</v>
      </c>
      <c r="C58" s="3" t="n">
        <v>13.017171</v>
      </c>
      <c r="D58" s="3" t="n">
        <v>-0.4249310000000008</v>
      </c>
      <c r="E58" s="3" t="n">
        <v>3.039690999999996</v>
      </c>
      <c r="F58" s="3" t="n">
        <v>143.033351</v>
      </c>
      <c r="G58" t="inlineStr"/>
      <c r="H58" s="3" t="n">
        <v>37.218</v>
      </c>
      <c r="I58" s="3" t="n">
        <v>36.822</v>
      </c>
      <c r="J58" s="3" t="n">
        <v>3.122460579141434</v>
      </c>
      <c r="K58" t="inlineStr">
        <is>
          <t>IMF IL (api.imf.org, IMF.STA:IL 13.0.1) TRGNV_REVS / RXF11_REVS, USD</t>
        </is>
      </c>
    </row>
    <row r="59">
      <c r="A59" t="inlineStr">
        <is>
          <t>2014-10</t>
        </is>
      </c>
      <c r="B59" s="3" t="n">
        <v>14.021871</v>
      </c>
      <c r="C59" s="3" t="n">
        <v>13.936087</v>
      </c>
      <c r="D59" s="3" t="n">
        <v>0.0857840000000003</v>
      </c>
      <c r="E59" s="3" t="n">
        <v>3.114172999999997</v>
      </c>
      <c r="F59" s="3" t="n">
        <v>144.470571</v>
      </c>
      <c r="G59" t="inlineStr"/>
      <c r="H59" s="3" t="n">
        <v>37.124</v>
      </c>
      <c r="I59" s="3" t="n">
        <v>36.729</v>
      </c>
      <c r="J59" s="3" t="n">
        <v>3.083589944418507</v>
      </c>
      <c r="K59" t="inlineStr">
        <is>
          <t>IMF IL (api.imf.org, IMF.STA:IL 13.0.1) TRGNV_REVS / RXF11_REVS, USD</t>
        </is>
      </c>
    </row>
    <row r="60">
      <c r="A60" t="inlineStr">
        <is>
          <t>2014-11</t>
        </is>
      </c>
      <c r="B60" s="3" t="n">
        <v>13.25543</v>
      </c>
      <c r="C60" s="3" t="n">
        <v>12.673816</v>
      </c>
      <c r="D60" s="3" t="n">
        <v>0.5816140000000001</v>
      </c>
      <c r="E60" s="3" t="n">
        <v>2.720727999999998</v>
      </c>
      <c r="F60" s="3" t="n">
        <v>146.180277</v>
      </c>
      <c r="G60" t="inlineStr"/>
      <c r="H60" s="3" t="n">
        <v>36.833</v>
      </c>
      <c r="I60" s="3" t="n">
        <v>36.443</v>
      </c>
      <c r="J60" s="3" t="n">
        <v>3.023636355539263</v>
      </c>
      <c r="K60" t="inlineStr">
        <is>
          <t>IMF IL (api.imf.org, IMF.STA:IL 13.0.1) TRGNV_REVS / RXF11_REVS, USD</t>
        </is>
      </c>
    </row>
    <row r="61">
      <c r="A61" t="inlineStr">
        <is>
          <t>2014-12</t>
        </is>
      </c>
      <c r="B61" s="3" t="n">
        <v>12.857691</v>
      </c>
      <c r="C61" s="3" t="n">
        <v>13.784945</v>
      </c>
      <c r="D61" s="3" t="n">
        <v>-0.9272539999999996</v>
      </c>
      <c r="E61" s="3" t="n">
        <v>2.368242999999998</v>
      </c>
      <c r="F61" s="3" t="n">
        <v>147.849081</v>
      </c>
      <c r="G61" s="3" t="n">
        <v>2.54</v>
      </c>
      <c r="H61" s="3" t="n">
        <v>34.575</v>
      </c>
      <c r="I61" s="3" t="n">
        <v>34.189</v>
      </c>
      <c r="J61" s="3" t="n">
        <v>2.806239965739117</v>
      </c>
      <c r="K61" t="inlineStr">
        <is>
          <t>IMF IL (api.imf.org, IMF.STA:IL 13.0.1) TRGNV_REVS / RXF11_REVS, USD</t>
        </is>
      </c>
    </row>
    <row r="62">
      <c r="A62" t="inlineStr">
        <is>
          <t>2015-01</t>
        </is>
      </c>
      <c r="B62" s="3" t="n">
        <v>13.508963</v>
      </c>
      <c r="C62" s="3" t="n">
        <v>14.122534</v>
      </c>
      <c r="D62" s="3" t="n">
        <v>-0.6135710000000003</v>
      </c>
      <c r="E62" s="3" t="n">
        <v>-0.1091960000000025</v>
      </c>
      <c r="F62" s="3" t="n">
        <v>152.079142</v>
      </c>
      <c r="G62" t="inlineStr"/>
      <c r="H62" s="3" t="n">
        <v>35.113</v>
      </c>
      <c r="I62" s="3" t="n">
        <v>34.696</v>
      </c>
      <c r="J62" s="3" t="n">
        <v>2.770636357219848</v>
      </c>
      <c r="K62" t="inlineStr">
        <is>
          <t>IMF IL (api.imf.org, IMF.STA:IL 13.0.1) TRGNV_REVS / RXF11_REVS, USD</t>
        </is>
      </c>
    </row>
    <row r="63">
      <c r="A63" t="inlineStr">
        <is>
          <t>2015-02</t>
        </is>
      </c>
      <c r="B63" s="3" t="n">
        <v>9.512186</v>
      </c>
      <c r="C63" s="3" t="n">
        <v>10.295273</v>
      </c>
      <c r="D63" s="3" t="n">
        <v>-0.7830870000000001</v>
      </c>
      <c r="E63" s="3" t="n">
        <v>-0.3805390000000006</v>
      </c>
      <c r="F63" s="3" t="n">
        <v>152.418583</v>
      </c>
      <c r="G63" t="inlineStr"/>
      <c r="H63" s="3" t="n">
        <v>37.7</v>
      </c>
      <c r="I63" s="3" t="n">
        <v>37.307</v>
      </c>
      <c r="J63" s="3" t="n">
        <v>2.968142014546875</v>
      </c>
      <c r="K63" t="inlineStr">
        <is>
          <t>IMF IL (api.imf.org, IMF.STA:IL 13.0.1) TRGNV_REVS / RXF11_REVS, USD</t>
        </is>
      </c>
    </row>
    <row r="64">
      <c r="A64" t="inlineStr">
        <is>
          <t>2015-03</t>
        </is>
      </c>
      <c r="B64" s="3" t="n">
        <v>13.369677</v>
      </c>
      <c r="C64" s="3" t="n">
        <v>14.581096</v>
      </c>
      <c r="D64" s="3" t="n">
        <v>-1.211418999999999</v>
      </c>
      <c r="E64" s="3" t="n">
        <v>-1.364115000000002</v>
      </c>
      <c r="F64" s="3" t="n">
        <v>154.588368</v>
      </c>
      <c r="G64" t="inlineStr"/>
      <c r="H64" s="3" t="n">
        <v>37.297</v>
      </c>
      <c r="I64" s="3" t="n">
        <v>36.911</v>
      </c>
      <c r="J64" s="3" t="n">
        <v>2.89519842786619</v>
      </c>
      <c r="K64" t="inlineStr">
        <is>
          <t>IMF IL (api.imf.org, IMF.STA:IL 13.0.1) TRGNV_REVS / RXF11_REVS, USD</t>
        </is>
      </c>
    </row>
    <row r="65">
      <c r="A65" t="inlineStr">
        <is>
          <t>2015-04</t>
        </is>
      </c>
      <c r="B65" s="3" t="n">
        <v>13.478531</v>
      </c>
      <c r="C65" s="3" t="n">
        <v>13.045325</v>
      </c>
      <c r="D65" s="3" t="n">
        <v>0.4332060000000002</v>
      </c>
      <c r="E65" s="3" t="n">
        <v>-1.925841999999999</v>
      </c>
      <c r="F65" s="3" t="n">
        <v>155.504895</v>
      </c>
      <c r="G65" t="inlineStr"/>
      <c r="H65" s="3" t="n">
        <v>36.848</v>
      </c>
      <c r="I65" s="3" t="n">
        <v>36.464</v>
      </c>
      <c r="J65" s="3" t="n">
        <v>2.843486052320089</v>
      </c>
      <c r="K65" t="inlineStr">
        <is>
          <t>IMF IL (api.imf.org, IMF.STA:IL 13.0.1) TRGNV_REVS / RXF11_REVS, USD</t>
        </is>
      </c>
    </row>
    <row r="66">
      <c r="A66" t="inlineStr">
        <is>
          <t>2015-05</t>
        </is>
      </c>
      <c r="B66" s="3" t="n">
        <v>13.649043</v>
      </c>
      <c r="C66" s="3" t="n">
        <v>14.873006</v>
      </c>
      <c r="D66" s="3" t="n">
        <v>-1.223963000000001</v>
      </c>
      <c r="E66" s="3" t="n">
        <v>-2.788638000000001</v>
      </c>
      <c r="F66" s="3" t="n">
        <v>157.630412</v>
      </c>
      <c r="G66" t="inlineStr"/>
      <c r="H66" s="3" t="n">
        <v>37.609</v>
      </c>
      <c r="I66" s="3" t="n">
        <v>37.222</v>
      </c>
      <c r="J66" s="3" t="n">
        <v>2.863076954972369</v>
      </c>
      <c r="K66" t="inlineStr">
        <is>
          <t>IMF IL (api.imf.org, IMF.STA:IL 13.0.1) TRGNV_REVS / RXF11_REVS, USD</t>
        </is>
      </c>
    </row>
    <row r="67">
      <c r="A67" t="inlineStr">
        <is>
          <t>2015-06</t>
        </is>
      </c>
      <c r="B67" s="3" t="n">
        <v>14.173601</v>
      </c>
      <c r="C67" s="3" t="n">
        <v>14.20058</v>
      </c>
      <c r="D67" s="3" t="n">
        <v>-0.02697899999999898</v>
      </c>
      <c r="E67" s="3" t="n">
        <v>-2.973929999999999</v>
      </c>
      <c r="F67" s="3" t="n">
        <v>159.721539</v>
      </c>
      <c r="G67" t="inlineStr"/>
      <c r="H67" s="3" t="n">
        <v>37.687</v>
      </c>
      <c r="I67" s="3" t="n">
        <v>37.334</v>
      </c>
      <c r="J67" s="3" t="n">
        <v>2.831452807376217</v>
      </c>
      <c r="K67" t="inlineStr">
        <is>
          <t>IMF IL (api.imf.org, IMF.STA:IL 13.0.1) TRGNV_REVS / RXF11_REVS, USD</t>
        </is>
      </c>
    </row>
    <row r="68">
      <c r="A68" t="inlineStr">
        <is>
          <t>2015-07</t>
        </is>
      </c>
      <c r="B68" s="3" t="n">
        <v>14.296897</v>
      </c>
      <c r="C68" s="3" t="n">
        <v>14.786141</v>
      </c>
      <c r="D68" s="3" t="n">
        <v>-0.4892439999999976</v>
      </c>
      <c r="E68" s="3" t="n">
        <v>-3.662934999999997</v>
      </c>
      <c r="F68" s="3" t="n">
        <v>161.620528</v>
      </c>
      <c r="G68" t="inlineStr"/>
      <c r="H68" s="3" t="n">
        <v>37.278</v>
      </c>
      <c r="I68" s="3" t="n">
        <v>36.909</v>
      </c>
      <c r="J68" s="3" t="n">
        <v>2.767816721895624</v>
      </c>
      <c r="K68" t="inlineStr">
        <is>
          <t>IMF IL (api.imf.org, IMF.STA:IL 13.0.1) TRGNV_REVS / RXF11_REVS, USD</t>
        </is>
      </c>
    </row>
    <row r="69">
      <c r="A69" t="inlineStr">
        <is>
          <t>2015-08</t>
        </is>
      </c>
      <c r="B69" s="3" t="n">
        <v>14.395559</v>
      </c>
      <c r="C69" s="3" t="n">
        <v>14.128244</v>
      </c>
      <c r="D69" s="3" t="n">
        <v>0.2673149999999982</v>
      </c>
      <c r="E69" s="3" t="n">
        <v>-4.332528999999999</v>
      </c>
      <c r="F69" s="3" t="n">
        <v>163.444218</v>
      </c>
      <c r="G69" t="inlineStr"/>
      <c r="H69" s="3" t="n">
        <v>33.281</v>
      </c>
      <c r="I69" s="3" t="n">
        <v>32.914</v>
      </c>
      <c r="J69" s="3" t="n">
        <v>2.443475853027728</v>
      </c>
      <c r="K69" t="inlineStr">
        <is>
          <t>IMF IL (api.imf.org, IMF.STA:IL 13.0.1) TRGNV_REVS / RXF11_REVS, USD</t>
        </is>
      </c>
    </row>
    <row r="70">
      <c r="A70" t="inlineStr">
        <is>
          <t>2015-09</t>
        </is>
      </c>
      <c r="B70" s="3" t="n">
        <v>13.766063</v>
      </c>
      <c r="C70" s="3" t="n">
        <v>13.757348</v>
      </c>
      <c r="D70" s="3" t="n">
        <v>0.008715000000000472</v>
      </c>
      <c r="E70" s="3" t="n">
        <v>-3.898882999999998</v>
      </c>
      <c r="F70" s="3" t="n">
        <v>164.184395</v>
      </c>
      <c r="G70" t="inlineStr"/>
      <c r="H70" s="3" t="n">
        <v>31.025</v>
      </c>
      <c r="I70" s="3" t="n">
        <v>30.652</v>
      </c>
      <c r="J70" s="3" t="n">
        <v>2.267572384086807</v>
      </c>
      <c r="K70" t="inlineStr">
        <is>
          <t>IMF IL (api.imf.org, IMF.STA:IL 13.0.1) TRGNV_REVS / RXF11_REVS, USD</t>
        </is>
      </c>
    </row>
    <row r="71">
      <c r="A71" t="inlineStr">
        <is>
          <t>2015-10</t>
        </is>
      </c>
      <c r="B71" s="3" t="n">
        <v>14.307948</v>
      </c>
      <c r="C71" s="3" t="n">
        <v>13.848305</v>
      </c>
      <c r="D71" s="3" t="n">
        <v>0.4596429999999998</v>
      </c>
      <c r="E71" s="3" t="n">
        <v>-3.525023999999998</v>
      </c>
      <c r="F71" s="3" t="n">
        <v>164.096613</v>
      </c>
      <c r="G71" t="inlineStr"/>
      <c r="H71" s="3" t="n">
        <v>31.345</v>
      </c>
      <c r="I71" s="3" t="n">
        <v>31.002</v>
      </c>
      <c r="J71" s="3" t="n">
        <v>2.292186250059896</v>
      </c>
      <c r="K71" t="inlineStr">
        <is>
          <t>IMF IL (api.imf.org, IMF.STA:IL 13.0.1) TRGNV_REVS / RXF11_REVS, USD</t>
        </is>
      </c>
    </row>
    <row r="72">
      <c r="A72" t="inlineStr">
        <is>
          <t>2015-11</t>
        </is>
      </c>
      <c r="B72" s="3" t="n">
        <v>13.873861</v>
      </c>
      <c r="C72" s="3" t="n">
        <v>13.689135</v>
      </c>
      <c r="D72" s="3" t="n">
        <v>0.1847260000000013</v>
      </c>
      <c r="E72" s="3" t="n">
        <v>-3.921911999999997</v>
      </c>
      <c r="F72" s="3" t="n">
        <v>165.111932</v>
      </c>
      <c r="G72" t="inlineStr"/>
      <c r="H72" s="3" t="n">
        <v>30.655</v>
      </c>
      <c r="I72" s="3" t="n">
        <v>30.29</v>
      </c>
      <c r="J72" s="3" t="n">
        <v>2.227943162823629</v>
      </c>
      <c r="K72" t="inlineStr">
        <is>
          <t>IMF IL (api.imf.org, IMF.STA:IL 13.0.1) TRGNV_REVS / RXF11_REVS, USD</t>
        </is>
      </c>
    </row>
    <row r="73">
      <c r="A73" t="inlineStr">
        <is>
          <t>2015-12</t>
        </is>
      </c>
      <c r="B73" s="3" t="n">
        <v>13.684584</v>
      </c>
      <c r="C73" s="3" t="n">
        <v>14.243434</v>
      </c>
      <c r="D73" s="3" t="n">
        <v>-0.5588499999999978</v>
      </c>
      <c r="E73" s="3" t="n">
        <v>-3.553507999999995</v>
      </c>
      <c r="F73" s="3" t="n">
        <v>165.570421</v>
      </c>
      <c r="G73" s="3" t="n">
        <v>1.85</v>
      </c>
      <c r="H73" s="3" t="n">
        <v>28.616</v>
      </c>
      <c r="I73" s="3" t="n">
        <v>28.25</v>
      </c>
      <c r="J73" s="3" t="n">
        <v>2.073993639238255</v>
      </c>
      <c r="K73" t="inlineStr">
        <is>
          <t>IMF IL (api.imf.org, IMF.STA:IL 13.0.1) TRGNV_REVS / RXF11_REVS, USD</t>
        </is>
      </c>
    </row>
    <row r="74">
      <c r="A74" t="inlineStr">
        <is>
          <t>2016-01</t>
        </is>
      </c>
      <c r="B74" s="3" t="n">
        <v>13.603276</v>
      </c>
      <c r="C74" s="3" t="n">
        <v>12.773558</v>
      </c>
      <c r="D74" s="3" t="n">
        <v>0.829717999999998</v>
      </c>
      <c r="E74" s="3" t="n">
        <v>-2.110218999999997</v>
      </c>
      <c r="F74" s="3" t="n">
        <v>164.221445</v>
      </c>
      <c r="G74" t="inlineStr"/>
      <c r="H74" s="3" t="n">
        <v>27.857</v>
      </c>
      <c r="I74" s="3" t="n">
        <v>27.494</v>
      </c>
      <c r="J74" s="3" t="n">
        <v>2.03556849715943</v>
      </c>
      <c r="K74" t="inlineStr">
        <is>
          <t>IMF IL (api.imf.org, IMF.STA:IL 13.0.1) TRGNV_REVS / RXF11_REVS, USD</t>
        </is>
      </c>
    </row>
    <row r="75">
      <c r="A75" t="inlineStr">
        <is>
          <t>2016-02</t>
        </is>
      </c>
      <c r="B75" s="3" t="n">
        <v>10.095879</v>
      </c>
      <c r="C75" s="3" t="n">
        <v>10.260714</v>
      </c>
      <c r="D75" s="3" t="n">
        <v>-0.1648350000000001</v>
      </c>
      <c r="E75" s="3" t="n">
        <v>-1.491966999999997</v>
      </c>
      <c r="F75" s="3" t="n">
        <v>164.186886</v>
      </c>
      <c r="G75" t="inlineStr"/>
      <c r="H75" s="3" t="n">
        <v>29.234</v>
      </c>
      <c r="I75" s="3" t="n">
        <v>28.836</v>
      </c>
      <c r="J75" s="3" t="n">
        <v>2.136638367086151</v>
      </c>
      <c r="K75" t="inlineStr">
        <is>
          <t>IMF IL (api.imf.org, IMF.STA:IL 13.0.1) TRGNV_REVS / RXF11_REVS, USD</t>
        </is>
      </c>
    </row>
    <row r="76">
      <c r="A76" t="inlineStr">
        <is>
          <t>2016-03</t>
        </is>
      </c>
      <c r="B76" s="3" t="n">
        <v>15.084738</v>
      </c>
      <c r="C76" s="3" t="n">
        <v>14.429045</v>
      </c>
      <c r="D76" s="3" t="n">
        <v>0.6556929999999994</v>
      </c>
      <c r="E76" s="3" t="n">
        <v>0.3751450000000016</v>
      </c>
      <c r="F76" s="3" t="n">
        <v>164.034835</v>
      </c>
      <c r="G76" t="inlineStr"/>
      <c r="H76" s="3" t="n">
        <v>32.017</v>
      </c>
      <c r="I76" s="3" t="n">
        <v>31.618</v>
      </c>
      <c r="J76" s="3" t="n">
        <v>2.342209811714688</v>
      </c>
      <c r="K76" t="inlineStr">
        <is>
          <t>IMF IL (api.imf.org, IMF.STA:IL 13.0.1) TRGNV_REVS / RXF11_REVS, USD</t>
        </is>
      </c>
    </row>
    <row r="77">
      <c r="A77" t="inlineStr">
        <is>
          <t>2016-04</t>
        </is>
      </c>
      <c r="B77" s="3" t="n">
        <v>14.397085</v>
      </c>
      <c r="C77" s="3" t="n">
        <v>14.131878</v>
      </c>
      <c r="D77" s="3" t="n">
        <v>0.2652069999999984</v>
      </c>
      <c r="E77" s="3" t="n">
        <v>0.2071459999999998</v>
      </c>
      <c r="F77" s="3" t="n">
        <v>165.121388</v>
      </c>
      <c r="G77" t="inlineStr"/>
      <c r="H77" s="3" t="n">
        <v>34.245</v>
      </c>
      <c r="I77" s="3" t="n">
        <v>33.833</v>
      </c>
      <c r="J77" s="3" t="n">
        <v>2.488714544962522</v>
      </c>
      <c r="K77" t="inlineStr">
        <is>
          <t>IMF IL (api.imf.org, IMF.STA:IL 13.0.1) TRGNV_REVS / RXF11_REVS, USD</t>
        </is>
      </c>
    </row>
    <row r="78">
      <c r="A78" t="inlineStr">
        <is>
          <t>2016-05</t>
        </is>
      </c>
      <c r="B78" s="3" t="n">
        <v>14.340886</v>
      </c>
      <c r="C78" s="3" t="n">
        <v>14.560195</v>
      </c>
      <c r="D78" s="3" t="n">
        <v>-0.2193089999999991</v>
      </c>
      <c r="E78" s="3" t="n">
        <v>1.211800000000002</v>
      </c>
      <c r="F78" s="3" t="n">
        <v>164.808577</v>
      </c>
      <c r="G78" t="inlineStr"/>
      <c r="H78" s="3" t="n">
        <v>35.192</v>
      </c>
      <c r="I78" s="3" t="n">
        <v>34.798</v>
      </c>
      <c r="J78" s="3" t="n">
        <v>2.562390912458397</v>
      </c>
      <c r="K78" t="inlineStr">
        <is>
          <t>IMF IL (api.imf.org, IMF.STA:IL 13.0.1) TRGNV_REVS / RXF11_REVS, USD</t>
        </is>
      </c>
    </row>
    <row r="79">
      <c r="A79" t="inlineStr">
        <is>
          <t>2016-06</t>
        </is>
      </c>
      <c r="B79" s="3" t="n">
        <v>14.722076</v>
      </c>
      <c r="C79" s="3" t="n">
        <v>14.800421</v>
      </c>
      <c r="D79" s="3" t="n">
        <v>-0.07834500000000055</v>
      </c>
      <c r="E79" s="3" t="n">
        <v>1.160434</v>
      </c>
      <c r="F79" s="3" t="n">
        <v>165.408418</v>
      </c>
      <c r="G79" t="inlineStr"/>
      <c r="H79" s="3" t="n">
        <v>35.416</v>
      </c>
      <c r="I79" s="3" t="n">
        <v>34.988</v>
      </c>
      <c r="J79" s="3" t="n">
        <v>2.569349281848521</v>
      </c>
      <c r="K79" t="inlineStr">
        <is>
          <t>IMF IL (api.imf.org, IMF.STA:IL 13.0.1) TRGNV_REVS / RXF11_REVS, USD</t>
        </is>
      </c>
    </row>
    <row r="80">
      <c r="A80" t="inlineStr">
        <is>
          <t>2016-07</t>
        </is>
      </c>
      <c r="B80" s="3" t="n">
        <v>14.84482</v>
      </c>
      <c r="C80" s="3" t="n">
        <v>14.409781</v>
      </c>
      <c r="D80" s="3" t="n">
        <v>0.4350389999999997</v>
      </c>
      <c r="E80" s="3" t="n">
        <v>2.084716999999998</v>
      </c>
      <c r="F80" s="3" t="n">
        <v>165.032058</v>
      </c>
      <c r="G80" t="inlineStr"/>
      <c r="H80" s="3" t="n">
        <v>35.619</v>
      </c>
      <c r="I80" s="3" t="n">
        <v>35.184</v>
      </c>
      <c r="J80" s="3" t="n">
        <v>2.589969519740219</v>
      </c>
      <c r="K80" t="inlineStr">
        <is>
          <t>IMF IL (api.imf.org, IMF.STA:IL 13.0.1) TRGNV_REVS / RXF11_REVS, USD</t>
        </is>
      </c>
    </row>
    <row r="81">
      <c r="A81" t="inlineStr">
        <is>
          <t>2016-08</t>
        </is>
      </c>
      <c r="B81" s="3" t="n">
        <v>16.099489</v>
      </c>
      <c r="C81" s="3" t="n">
        <v>15.550616</v>
      </c>
      <c r="D81" s="3" t="n">
        <v>0.5488729999999986</v>
      </c>
      <c r="E81" s="3" t="n">
        <v>2.366274999999998</v>
      </c>
      <c r="F81" s="3" t="n">
        <v>166.45443</v>
      </c>
      <c r="G81" t="inlineStr"/>
      <c r="H81" s="3" t="n">
        <v>37.507</v>
      </c>
      <c r="I81" s="3" t="n">
        <v>37.081</v>
      </c>
      <c r="J81" s="3" t="n">
        <v>2.703947260520492</v>
      </c>
      <c r="K81" t="inlineStr">
        <is>
          <t>IMF IL (api.imf.org, IMF.STA:IL 13.0.1) TRGNV_REVS / RXF11_REVS, USD</t>
        </is>
      </c>
    </row>
    <row r="82">
      <c r="A82" t="inlineStr">
        <is>
          <t>2016-09</t>
        </is>
      </c>
      <c r="B82" s="3" t="n">
        <v>15.368876</v>
      </c>
      <c r="C82" s="3" t="n">
        <v>14.611537</v>
      </c>
      <c r="D82" s="3" t="n">
        <v>0.757339</v>
      </c>
      <c r="E82" s="3" t="n">
        <v>3.114898999999998</v>
      </c>
      <c r="F82" s="3" t="n">
        <v>167.308619</v>
      </c>
      <c r="G82" t="inlineStr"/>
      <c r="H82" s="3" t="n">
        <v>38.055</v>
      </c>
      <c r="I82" s="3" t="n">
        <v>37.624</v>
      </c>
      <c r="J82" s="3" t="n">
        <v>2.729446950966704</v>
      </c>
      <c r="K82" t="inlineStr">
        <is>
          <t>IMF IL (api.imf.org, IMF.STA:IL 13.0.1) TRGNV_REVS / RXF11_REVS, USD</t>
        </is>
      </c>
    </row>
    <row r="83">
      <c r="A83" t="inlineStr">
        <is>
          <t>2016-10</t>
        </is>
      </c>
      <c r="B83" s="3" t="n">
        <v>15.369023</v>
      </c>
      <c r="C83" s="3" t="n">
        <v>15.863467</v>
      </c>
      <c r="D83" s="3" t="n">
        <v>-0.4944440000000014</v>
      </c>
      <c r="E83" s="3" t="n">
        <v>2.160811999999996</v>
      </c>
      <c r="F83" s="3" t="n">
        <v>169.323781</v>
      </c>
      <c r="G83" t="inlineStr"/>
      <c r="H83" s="3" t="n">
        <v>38.027</v>
      </c>
      <c r="I83" s="3" t="n">
        <v>37.612</v>
      </c>
      <c r="J83" s="3" t="n">
        <v>2.694978799227263</v>
      </c>
      <c r="K83" t="inlineStr">
        <is>
          <t>IMF IL (api.imf.org, IMF.STA:IL 13.0.1) TRGNV_REVS / RXF11_REVS, USD</t>
        </is>
      </c>
    </row>
    <row r="84">
      <c r="A84" t="inlineStr">
        <is>
          <t>2016-11</t>
        </is>
      </c>
      <c r="B84" s="3" t="n">
        <v>16.102513</v>
      </c>
      <c r="C84" s="3" t="n">
        <v>16.414656</v>
      </c>
      <c r="D84" s="3" t="n">
        <v>-0.3121429999999989</v>
      </c>
      <c r="E84" s="3" t="n">
        <v>1.663942999999996</v>
      </c>
      <c r="F84" s="3" t="n">
        <v>172.049302</v>
      </c>
      <c r="G84" t="inlineStr"/>
      <c r="H84" s="3" t="n">
        <v>37.986</v>
      </c>
      <c r="I84" s="3" t="n">
        <v>37.599</v>
      </c>
      <c r="J84" s="3" t="n">
        <v>2.64942661609868</v>
      </c>
      <c r="K84" t="inlineStr">
        <is>
          <t>IMF IL (api.imf.org, IMF.STA:IL 13.0.1) TRGNV_REVS / RXF11_REVS, USD</t>
        </is>
      </c>
    </row>
    <row r="85">
      <c r="A85" t="inlineStr">
        <is>
          <t>2016-12</t>
        </is>
      </c>
      <c r="B85" s="3" t="n">
        <v>16.552156</v>
      </c>
      <c r="C85" s="3" t="n">
        <v>16.997932</v>
      </c>
      <c r="D85" s="3" t="n">
        <v>-0.4457760000000022</v>
      </c>
      <c r="E85" s="3" t="n">
        <v>1.777016999999992</v>
      </c>
      <c r="F85" s="3" t="n">
        <v>174.8038</v>
      </c>
      <c r="G85" s="3" t="n">
        <v>2.22</v>
      </c>
      <c r="H85" s="3" t="n">
        <v>36.906</v>
      </c>
      <c r="I85" s="3" t="n">
        <v>36.527</v>
      </c>
      <c r="J85" s="3" t="n">
        <v>2.53353760044118</v>
      </c>
      <c r="K85" t="inlineStr">
        <is>
          <t>IMF IL (api.imf.org, IMF.STA:IL 13.0.1) TRGNV_REVS / RXF11_REVS, USD</t>
        </is>
      </c>
    </row>
    <row r="86">
      <c r="A86" t="inlineStr">
        <is>
          <t>2017-01</t>
        </is>
      </c>
      <c r="B86" s="3" t="n">
        <v>14.42047</v>
      </c>
      <c r="C86" s="3" t="n">
        <v>13.176626</v>
      </c>
      <c r="D86" s="3" t="n">
        <v>1.243843999999999</v>
      </c>
      <c r="E86" s="3" t="n">
        <v>2.191142999999993</v>
      </c>
      <c r="F86" s="3" t="n">
        <v>175.206868</v>
      </c>
      <c r="G86" t="inlineStr"/>
      <c r="H86" s="3" t="n">
        <v>38.33</v>
      </c>
      <c r="I86" s="3" t="n">
        <v>37.937</v>
      </c>
      <c r="J86" s="3" t="n">
        <v>2.62523955396543</v>
      </c>
      <c r="K86" t="inlineStr">
        <is>
          <t>IMF IL (api.imf.org, IMF.STA:IL 13.0.1) TRGNV_REVS / RXF11_REVS, USD</t>
        </is>
      </c>
    </row>
    <row r="87">
      <c r="A87" t="inlineStr">
        <is>
          <t>2017-02</t>
        </is>
      </c>
      <c r="B87" s="3" t="n">
        <v>13.189262</v>
      </c>
      <c r="C87" s="3" t="n">
        <v>15.26933</v>
      </c>
      <c r="D87" s="3" t="n">
        <v>-2.080067999999999</v>
      </c>
      <c r="E87" s="3" t="n">
        <v>0.2759099999999943</v>
      </c>
      <c r="F87" s="3" t="n">
        <v>180.215484</v>
      </c>
      <c r="G87" t="inlineStr"/>
      <c r="H87" s="3" t="n">
        <v>38.09</v>
      </c>
      <c r="I87" s="3" t="n">
        <v>37.682</v>
      </c>
      <c r="J87" s="3" t="n">
        <v>2.536297047594423</v>
      </c>
      <c r="K87" t="inlineStr">
        <is>
          <t>IMF IL (api.imf.org, IMF.STA:IL 13.0.1) TRGNV_REVS / RXF11_REVS, USD</t>
        </is>
      </c>
    </row>
    <row r="88">
      <c r="A88" t="inlineStr">
        <is>
          <t>2017-03</t>
        </is>
      </c>
      <c r="B88" s="3" t="n">
        <v>17.278372</v>
      </c>
      <c r="C88" s="3" t="n">
        <v>18.55168</v>
      </c>
      <c r="D88" s="3" t="n">
        <v>-1.273308</v>
      </c>
      <c r="E88" s="3" t="n">
        <v>-1.653091000000005</v>
      </c>
      <c r="F88" s="3" t="n">
        <v>184.338119</v>
      </c>
      <c r="G88" t="inlineStr"/>
      <c r="H88" s="3" t="n">
        <v>38.232</v>
      </c>
      <c r="I88" s="3" t="n">
        <v>37.829</v>
      </c>
      <c r="J88" s="3" t="n">
        <v>2.48881784456095</v>
      </c>
      <c r="K88" t="inlineStr">
        <is>
          <t>IMF IL (api.imf.org, IMF.STA:IL 13.0.1) TRGNV_REVS / RXF11_REVS, USD</t>
        </is>
      </c>
    </row>
    <row r="89">
      <c r="A89" t="inlineStr">
        <is>
          <t>2017-04</t>
        </is>
      </c>
      <c r="B89" s="3" t="n">
        <v>17.571218</v>
      </c>
      <c r="C89" s="3" t="n">
        <v>17.398061</v>
      </c>
      <c r="D89" s="3" t="n">
        <v>0.1731569999999998</v>
      </c>
      <c r="E89" s="3" t="n">
        <v>-1.745141000000004</v>
      </c>
      <c r="F89" s="3" t="n">
        <v>187.604302</v>
      </c>
      <c r="G89" t="inlineStr"/>
      <c r="H89" s="3" t="n">
        <v>39.071</v>
      </c>
      <c r="I89" s="3" t="n">
        <v>38.66</v>
      </c>
      <c r="J89" s="3" t="n">
        <v>2.499153777401117</v>
      </c>
      <c r="K89" t="inlineStr">
        <is>
          <t>IMF IL (api.imf.org, IMF.STA:IL 13.0.1) TRGNV_REVS / RXF11_REVS, USD</t>
        </is>
      </c>
    </row>
    <row r="90">
      <c r="A90" t="inlineStr">
        <is>
          <t>2017-05</t>
        </is>
      </c>
      <c r="B90" s="3" t="n">
        <v>17.924057</v>
      </c>
      <c r="C90" s="3" t="n">
        <v>18.525801</v>
      </c>
      <c r="D90" s="3" t="n">
        <v>-0.6017439999999965</v>
      </c>
      <c r="E90" s="3" t="n">
        <v>-2.127576000000001</v>
      </c>
      <c r="F90" s="3" t="n">
        <v>191.569908</v>
      </c>
      <c r="G90" t="inlineStr"/>
      <c r="H90" s="3" t="n">
        <v>38.895</v>
      </c>
      <c r="I90" s="3" t="n">
        <v>38.484</v>
      </c>
      <c r="J90" s="3" t="n">
        <v>2.436395177472237</v>
      </c>
      <c r="K90" t="inlineStr">
        <is>
          <t>IMF IL (api.imf.org, IMF.STA:IL 13.0.1) TRGNV_REVS / RXF11_REVS, USD</t>
        </is>
      </c>
    </row>
    <row r="91">
      <c r="A91" t="inlineStr">
        <is>
          <t>2017-06</t>
        </is>
      </c>
      <c r="B91" s="3" t="n">
        <v>17.754925</v>
      </c>
      <c r="C91" s="3" t="n">
        <v>18.16186</v>
      </c>
      <c r="D91" s="3" t="n">
        <v>-0.4069350000000007</v>
      </c>
      <c r="E91" s="3" t="n">
        <v>-2.456166000000001</v>
      </c>
      <c r="F91" s="3" t="n">
        <v>194.931347</v>
      </c>
      <c r="G91" t="inlineStr"/>
      <c r="H91" s="3" t="n">
        <v>39.601</v>
      </c>
      <c r="I91" s="3" t="n">
        <v>39.195</v>
      </c>
      <c r="J91" s="3" t="n">
        <v>2.437842898607785</v>
      </c>
      <c r="K91" t="inlineStr">
        <is>
          <t>IMF IL (api.imf.org, IMF.STA:IL 13.0.1) TRGNV_REVS / RXF11_REVS, USD</t>
        </is>
      </c>
    </row>
    <row r="92">
      <c r="A92" t="inlineStr">
        <is>
          <t>2017-07</t>
        </is>
      </c>
      <c r="B92" s="3" t="n">
        <v>17.696756</v>
      </c>
      <c r="C92" s="3" t="n">
        <v>17.438298</v>
      </c>
      <c r="D92" s="3" t="n">
        <v>0.258458000000001</v>
      </c>
      <c r="E92" s="3" t="n">
        <v>-2.632747</v>
      </c>
      <c r="F92" s="3" t="n">
        <v>197.959864</v>
      </c>
      <c r="G92" t="inlineStr"/>
      <c r="H92" s="3" t="n">
        <v>39.943</v>
      </c>
      <c r="I92" s="3" t="n">
        <v>39.53</v>
      </c>
      <c r="J92" s="3" t="n">
        <v>2.421278689098311</v>
      </c>
      <c r="K92" t="inlineStr">
        <is>
          <t>IMF IL (api.imf.org, IMF.STA:IL 13.0.1) TRGNV_REVS / RXF11_REVS, USD</t>
        </is>
      </c>
    </row>
    <row r="93">
      <c r="A93" t="inlineStr">
        <is>
          <t>2017-08</t>
        </is>
      </c>
      <c r="B93" s="3" t="n">
        <v>19.812519</v>
      </c>
      <c r="C93" s="3" t="n">
        <v>18.286927</v>
      </c>
      <c r="D93" s="3" t="n">
        <v>1.525592000000003</v>
      </c>
      <c r="E93" s="3" t="n">
        <v>-1.656027999999996</v>
      </c>
      <c r="F93" s="3" t="n">
        <v>200.696175</v>
      </c>
      <c r="G93" t="inlineStr"/>
      <c r="H93" s="3" t="n">
        <v>40.417</v>
      </c>
      <c r="I93" s="3" t="n">
        <v>39.992</v>
      </c>
      <c r="J93" s="3" t="n">
        <v>2.416608089317099</v>
      </c>
      <c r="K93" t="inlineStr">
        <is>
          <t>IMF IL (api.imf.org, IMF.STA:IL 13.0.1) TRGNV_REVS / RXF11_REVS, USD</t>
        </is>
      </c>
    </row>
    <row r="94">
      <c r="A94" t="inlineStr">
        <is>
          <t>2017-09</t>
        </is>
      </c>
      <c r="B94" s="3" t="n">
        <v>19.300834</v>
      </c>
      <c r="C94" s="3" t="n">
        <v>18.332679</v>
      </c>
      <c r="D94" s="3" t="n">
        <v>0.9681549999999994</v>
      </c>
      <c r="E94" s="3" t="n">
        <v>-1.445211999999996</v>
      </c>
      <c r="F94" s="3" t="n">
        <v>204.417317</v>
      </c>
      <c r="G94" t="inlineStr"/>
      <c r="H94" s="3" t="n">
        <v>41.775</v>
      </c>
      <c r="I94" s="3" t="n">
        <v>41.356</v>
      </c>
      <c r="J94" s="3" t="n">
        <v>2.452336266599174</v>
      </c>
      <c r="K94" t="inlineStr">
        <is>
          <t>IMF IL (api.imf.org, IMF.STA:IL 13.0.1) TRGNV_REVS / RXF11_REVS, USD</t>
        </is>
      </c>
    </row>
    <row r="95">
      <c r="A95" t="inlineStr">
        <is>
          <t>2017-10</t>
        </is>
      </c>
      <c r="B95" s="3" t="n">
        <v>20.336079</v>
      </c>
      <c r="C95" s="3" t="n">
        <v>18.223836</v>
      </c>
      <c r="D95" s="3" t="n">
        <v>2.112243000000003</v>
      </c>
      <c r="E95" s="3" t="n">
        <v>1.161475000000008</v>
      </c>
      <c r="F95" s="3" t="n">
        <v>206.777686</v>
      </c>
      <c r="G95" t="inlineStr"/>
      <c r="H95" s="3" t="n">
        <v>43.086</v>
      </c>
      <c r="I95" s="3" t="n">
        <v>42.671</v>
      </c>
      <c r="J95" s="3" t="n">
        <v>2.500424538071289</v>
      </c>
      <c r="K95" t="inlineStr">
        <is>
          <t>IMF IL (api.imf.org, IMF.STA:IL 13.0.1) TRGNV_REVS / RXF11_REVS, USD</t>
        </is>
      </c>
    </row>
    <row r="96">
      <c r="A96" t="inlineStr">
        <is>
          <t>2017-11</t>
        </is>
      </c>
      <c r="B96" s="3" t="n">
        <v>20.035672</v>
      </c>
      <c r="C96" s="3" t="n">
        <v>19.515636</v>
      </c>
      <c r="D96" s="3" t="n">
        <v>0.5200360000000011</v>
      </c>
      <c r="E96" s="3" t="n">
        <v>1.993654000000008</v>
      </c>
      <c r="F96" s="3" t="n">
        <v>209.878666</v>
      </c>
      <c r="G96" t="inlineStr"/>
      <c r="H96" s="3" t="n">
        <v>44.289</v>
      </c>
      <c r="I96" s="3" t="n">
        <v>43.871</v>
      </c>
      <c r="J96" s="3" t="n">
        <v>2.532263093381773</v>
      </c>
      <c r="K96" t="inlineStr">
        <is>
          <t>IMF IL (api.imf.org, IMF.STA:IL 13.0.1) TRGNV_REVS / RXF11_REVS, USD</t>
        </is>
      </c>
    </row>
    <row r="97">
      <c r="A97" t="inlineStr">
        <is>
          <t>2017-12</t>
        </is>
      </c>
      <c r="B97" s="3" t="n">
        <v>19.722647</v>
      </c>
      <c r="C97" s="3" t="n">
        <v>20.125985</v>
      </c>
      <c r="D97" s="3" t="n">
        <v>-0.403337999999998</v>
      </c>
      <c r="E97" s="3" t="n">
        <v>2.036092000000012</v>
      </c>
      <c r="F97" s="3" t="n">
        <v>213.006719</v>
      </c>
      <c r="G97" s="3" t="n">
        <v>2.46</v>
      </c>
      <c r="H97" s="3" t="n">
        <v>49.497</v>
      </c>
      <c r="I97" s="3" t="n">
        <v>49.076</v>
      </c>
      <c r="J97" s="3" t="n">
        <v>2.788475418937371</v>
      </c>
      <c r="K97" t="inlineStr">
        <is>
          <t>IMF IL (api.imf.org, IMF.STA:IL 13.0.1) TRGNV_REVS / RXF11_REVS, USD</t>
        </is>
      </c>
    </row>
    <row r="98">
      <c r="A98" t="inlineStr">
        <is>
          <t>2018-01</t>
        </is>
      </c>
      <c r="B98" s="3" t="n">
        <v>20.275514</v>
      </c>
      <c r="C98" s="3" t="n">
        <v>20.177089</v>
      </c>
      <c r="D98" s="3" t="n">
        <v>0.09842499999999887</v>
      </c>
      <c r="E98" s="3" t="n">
        <v>0.890673000000012</v>
      </c>
      <c r="F98" s="3" t="n">
        <v>220.007182</v>
      </c>
      <c r="G98" t="inlineStr"/>
      <c r="H98" s="3" t="n">
        <v>53.537</v>
      </c>
      <c r="I98" s="3" t="n">
        <v>53.101</v>
      </c>
      <c r="J98" s="3" t="n">
        <v>2.920104671855667</v>
      </c>
      <c r="K98" t="inlineStr">
        <is>
          <t>IMF IL (api.imf.org, IMF.STA:IL 13.0.1) TRGNV_REVS / RXF11_REVS, USD</t>
        </is>
      </c>
    </row>
    <row r="99">
      <c r="A99" t="inlineStr">
        <is>
          <t>2018-02</t>
        </is>
      </c>
      <c r="B99" s="3" t="n">
        <v>14.376091</v>
      </c>
      <c r="C99" s="3" t="n">
        <v>14.039002</v>
      </c>
      <c r="D99" s="3" t="n">
        <v>0.3370890000000006</v>
      </c>
      <c r="E99" s="3" t="n">
        <v>3.307830000000012</v>
      </c>
      <c r="F99" s="3" t="n">
        <v>218.776854</v>
      </c>
      <c r="G99" t="inlineStr"/>
      <c r="H99" s="3" t="n">
        <v>56.364</v>
      </c>
      <c r="I99" s="3" t="n">
        <v>55.935</v>
      </c>
      <c r="J99" s="3" t="n">
        <v>3.091588473065802</v>
      </c>
      <c r="K99" t="inlineStr">
        <is>
          <t>IMF IL (api.imf.org, IMF.STA:IL 13.0.1) TRGNV_REVS / RXF11_REVS, USD</t>
        </is>
      </c>
    </row>
    <row r="100">
      <c r="A100" t="inlineStr">
        <is>
          <t>2018-03</t>
        </is>
      </c>
      <c r="B100" s="3" t="n">
        <v>21.256281</v>
      </c>
      <c r="C100" s="3" t="n">
        <v>19.014118</v>
      </c>
      <c r="D100" s="3" t="n">
        <v>2.242162999999998</v>
      </c>
      <c r="E100" s="3" t="n">
        <v>6.82330100000001</v>
      </c>
      <c r="F100" s="3" t="n">
        <v>219.239292</v>
      </c>
      <c r="G100" t="inlineStr"/>
      <c r="H100" s="3" t="n">
        <v>56.696</v>
      </c>
      <c r="I100" s="3" t="n">
        <v>56.265</v>
      </c>
      <c r="J100" s="3" t="n">
        <v>3.103239359119988</v>
      </c>
      <c r="K100" t="inlineStr">
        <is>
          <t>IMF IL (api.imf.org, IMF.STA:IL 13.0.1) TRGNV_REVS / RXF11_REVS, USD</t>
        </is>
      </c>
    </row>
    <row r="101">
      <c r="A101" t="inlineStr">
        <is>
          <t>2018-04</t>
        </is>
      </c>
      <c r="B101" s="3" t="n">
        <v>18.507114</v>
      </c>
      <c r="C101" s="3" t="n">
        <v>17.509918</v>
      </c>
      <c r="D101" s="3" t="n">
        <v>0.9971959999999989</v>
      </c>
      <c r="E101" s="3" t="n">
        <v>7.647340000000009</v>
      </c>
      <c r="F101" s="3" t="n">
        <v>219.351149</v>
      </c>
      <c r="G101" t="inlineStr"/>
      <c r="H101" s="3" t="n">
        <v>56.699</v>
      </c>
      <c r="I101" s="3" t="n">
        <v>56.271</v>
      </c>
      <c r="J101" s="3" t="n">
        <v>3.101820998439357</v>
      </c>
      <c r="K101" t="inlineStr">
        <is>
          <t>IMF IL (api.imf.org, IMF.STA:IL 13.0.1) TRGNV_REVS / RXF11_REVS, USD</t>
        </is>
      </c>
    </row>
    <row r="102">
      <c r="A102" t="inlineStr">
        <is>
          <t>2018-05</t>
        </is>
      </c>
      <c r="B102" s="3" t="n">
        <v>20.003534</v>
      </c>
      <c r="C102" s="3" t="n">
        <v>21.043491</v>
      </c>
      <c r="D102" s="3" t="n">
        <v>-1.039957000000005</v>
      </c>
      <c r="E102" s="3" t="n">
        <v>7.209127000000001</v>
      </c>
      <c r="F102" s="3" t="n">
        <v>221.868839</v>
      </c>
      <c r="G102" t="inlineStr"/>
      <c r="H102" s="3" t="n">
        <v>57.131</v>
      </c>
      <c r="I102" s="3" t="n">
        <v>56.707</v>
      </c>
      <c r="J102" s="3" t="n">
        <v>3.089987774263334</v>
      </c>
      <c r="K102" t="inlineStr">
        <is>
          <t>IMF IL (api.imf.org, IMF.STA:IL 13.0.1) TRGNV_REVS / RXF11_REVS, USD</t>
        </is>
      </c>
    </row>
    <row r="103">
      <c r="A103" t="inlineStr">
        <is>
          <t>2018-06</t>
        </is>
      </c>
      <c r="B103" s="3" t="n">
        <v>19.902289</v>
      </c>
      <c r="C103" s="3" t="n">
        <v>19.277904</v>
      </c>
      <c r="D103" s="3" t="n">
        <v>0.6243850000000002</v>
      </c>
      <c r="E103" s="3" t="n">
        <v>8.240447000000001</v>
      </c>
      <c r="F103" s="3" t="n">
        <v>222.984883</v>
      </c>
      <c r="G103" t="inlineStr"/>
      <c r="H103" s="3" t="n">
        <v>58.167</v>
      </c>
      <c r="I103" s="3" t="n">
        <v>57.761</v>
      </c>
      <c r="J103" s="3" t="n">
        <v>3.130274979223592</v>
      </c>
      <c r="K103" t="inlineStr">
        <is>
          <t>IMF IL (api.imf.org, IMF.STA:IL 13.0.1) TRGNV_REVS / RXF11_REVS, USD</t>
        </is>
      </c>
    </row>
    <row r="104">
      <c r="A104" t="inlineStr">
        <is>
          <t>2018-07</t>
        </is>
      </c>
      <c r="B104" s="3" t="n">
        <v>20.683141</v>
      </c>
      <c r="C104" s="3" t="n">
        <v>21.329947</v>
      </c>
      <c r="D104" s="3" t="n">
        <v>-0.6468060000000015</v>
      </c>
      <c r="E104" s="3" t="n">
        <v>7.335182999999999</v>
      </c>
      <c r="F104" s="3" t="n">
        <v>226.876532</v>
      </c>
      <c r="G104" t="inlineStr"/>
      <c r="H104" s="3" t="n">
        <v>58.219</v>
      </c>
      <c r="I104" s="3" t="n">
        <v>57.822</v>
      </c>
      <c r="J104" s="3" t="n">
        <v>3.079331272570756</v>
      </c>
      <c r="K104" t="inlineStr">
        <is>
          <t>IMF IL (api.imf.org, IMF.STA:IL 13.0.1) TRGNV_REVS / RXF11_REVS, USD</t>
        </is>
      </c>
    </row>
    <row r="105">
      <c r="A105" t="inlineStr">
        <is>
          <t>2018-08</t>
        </is>
      </c>
      <c r="B105" s="3" t="n">
        <v>23.443703</v>
      </c>
      <c r="C105" s="3" t="n">
        <v>21.204389</v>
      </c>
      <c r="D105" s="3" t="n">
        <v>2.239314000000004</v>
      </c>
      <c r="E105" s="3" t="n">
        <v>8.048905</v>
      </c>
      <c r="F105" s="3" t="n">
        <v>229.793994</v>
      </c>
      <c r="G105" t="inlineStr"/>
      <c r="H105" s="3" t="n">
        <v>57.676</v>
      </c>
      <c r="I105" s="3" t="n">
        <v>57.286</v>
      </c>
      <c r="J105" s="3" t="n">
        <v>3.011880284390723</v>
      </c>
      <c r="K105" t="inlineStr">
        <is>
          <t>IMF IL (api.imf.org, IMF.STA:IL 13.0.1) TRGNV_REVS / RXF11_REVS, USD</t>
        </is>
      </c>
    </row>
    <row r="106">
      <c r="A106" t="inlineStr">
        <is>
          <t>2018-09</t>
        </is>
      </c>
      <c r="B106" s="3" t="n">
        <v>21.102973</v>
      </c>
      <c r="C106" s="3" t="n">
        <v>19.458163</v>
      </c>
      <c r="D106" s="3" t="n">
        <v>1.644810000000003</v>
      </c>
      <c r="E106" s="3" t="n">
        <v>8.725560000000003</v>
      </c>
      <c r="F106" s="3" t="n">
        <v>230.919478</v>
      </c>
      <c r="G106" t="inlineStr"/>
      <c r="H106" s="3" t="n">
        <v>57.391</v>
      </c>
      <c r="I106" s="3" t="n">
        <v>57.006</v>
      </c>
      <c r="J106" s="3" t="n">
        <v>2.982390251202629</v>
      </c>
      <c r="K106" t="inlineStr">
        <is>
          <t>IMF IL (api.imf.org, IMF.STA:IL 13.0.1) TRGNV_REVS / RXF11_REVS, USD</t>
        </is>
      </c>
    </row>
    <row r="107">
      <c r="A107" t="inlineStr">
        <is>
          <t>2018-10</t>
        </is>
      </c>
      <c r="B107" s="3" t="n">
        <v>22.531045</v>
      </c>
      <c r="C107" s="3" t="n">
        <v>21.744756</v>
      </c>
      <c r="D107" s="3" t="n">
        <v>0.7862889999999965</v>
      </c>
      <c r="E107" s="3" t="n">
        <v>7.399605999999997</v>
      </c>
      <c r="F107" s="3" t="n">
        <v>234.440398</v>
      </c>
      <c r="G107" t="inlineStr"/>
      <c r="H107" s="3" t="n">
        <v>55.535</v>
      </c>
      <c r="I107" s="3" t="n">
        <v>55.138</v>
      </c>
      <c r="J107" s="3" t="n">
        <v>2.842598825480581</v>
      </c>
      <c r="K107" t="inlineStr">
        <is>
          <t>IMF IL (api.imf.org, IMF.STA:IL 13.0.1) TRGNV_REVS / RXF11_REVS, USD</t>
        </is>
      </c>
    </row>
    <row r="108">
      <c r="A108" t="inlineStr">
        <is>
          <t>2018-11</t>
        </is>
      </c>
      <c r="B108" s="3" t="n">
        <v>21.777973</v>
      </c>
      <c r="C108" s="3" t="n">
        <v>21.52652</v>
      </c>
      <c r="D108" s="3" t="n">
        <v>0.2514530000000015</v>
      </c>
      <c r="E108" s="3" t="n">
        <v>7.131022999999997</v>
      </c>
      <c r="F108" s="3" t="n">
        <v>236.451282</v>
      </c>
      <c r="G108" t="inlineStr"/>
      <c r="H108" s="3" t="n">
        <v>55.459</v>
      </c>
      <c r="I108" s="3" t="n">
        <v>55.06</v>
      </c>
      <c r="J108" s="3" t="n">
        <v>2.814567103933063</v>
      </c>
      <c r="K108" t="inlineStr">
        <is>
          <t>IMF IL (api.imf.org, IMF.STA:IL 13.0.1) TRGNV_REVS / RXF11_REVS, USD</t>
        </is>
      </c>
    </row>
    <row r="109">
      <c r="A109" t="inlineStr">
        <is>
          <t>2018-12</t>
        </is>
      </c>
      <c r="B109" s="3" t="n">
        <v>19.791356</v>
      </c>
      <c r="C109" s="3" t="n">
        <v>20.543559</v>
      </c>
      <c r="D109" s="3" t="n">
        <v>-0.7522030000000015</v>
      </c>
      <c r="E109" s="3" t="n">
        <v>6.782157999999994</v>
      </c>
      <c r="F109" s="3" t="n">
        <v>236.868856</v>
      </c>
      <c r="G109" s="3" t="n">
        <v>2.53</v>
      </c>
      <c r="H109" s="3" t="n">
        <v>55.868</v>
      </c>
      <c r="I109" s="3" t="n">
        <v>55.453</v>
      </c>
      <c r="J109" s="3" t="n">
        <v>2.830325654969179</v>
      </c>
      <c r="K109" t="inlineStr">
        <is>
          <t>IMF IL (api.imf.org, IMF.STA:IL 13.0.1) TRGNV_REVS / RXF11_REVS, USD</t>
        </is>
      </c>
    </row>
    <row r="110">
      <c r="A110" t="inlineStr">
        <is>
          <t>2019-01</t>
        </is>
      </c>
      <c r="B110" s="3" t="n">
        <v>22.183477</v>
      </c>
      <c r="C110" s="3" t="n">
        <v>21.563112</v>
      </c>
      <c r="D110" s="3" t="n">
        <v>0.6203649999999996</v>
      </c>
      <c r="E110" s="3" t="n">
        <v>7.304097999999994</v>
      </c>
      <c r="F110" s="3" t="n">
        <v>238.254879</v>
      </c>
      <c r="G110" t="inlineStr"/>
      <c r="H110" s="3" t="n">
        <v>59.804</v>
      </c>
      <c r="I110" s="3" t="n">
        <v>59.375</v>
      </c>
      <c r="J110" s="3" t="n">
        <v>3.012102010301329</v>
      </c>
      <c r="K110" t="inlineStr">
        <is>
          <t>IMF IL (api.imf.org, IMF.STA:IL 13.0.1) TRGNV_REVS / RXF11_REVS, USD</t>
        </is>
      </c>
    </row>
    <row r="111">
      <c r="A111" t="inlineStr">
        <is>
          <t>2019-02</t>
        </is>
      </c>
      <c r="B111" s="3" t="n">
        <v>13.878652</v>
      </c>
      <c r="C111" s="3" t="n">
        <v>14.693518</v>
      </c>
      <c r="D111" s="3" t="n">
        <v>-0.8148659999999985</v>
      </c>
      <c r="E111" s="3" t="n">
        <v>6.152142999999995</v>
      </c>
      <c r="F111" s="3" t="n">
        <v>238.909395</v>
      </c>
      <c r="G111" t="inlineStr"/>
      <c r="H111" s="3" t="n">
        <v>61.112</v>
      </c>
      <c r="I111" s="3" t="n">
        <v>60.682</v>
      </c>
      <c r="J111" s="3" t="n">
        <v>3.069548604398751</v>
      </c>
      <c r="K111" t="inlineStr">
        <is>
          <t>IMF IL (api.imf.org, IMF.STA:IL 13.0.1) TRGNV_REVS / RXF11_REVS, USD</t>
        </is>
      </c>
    </row>
    <row r="112">
      <c r="A112" t="inlineStr">
        <is>
          <t>2019-03</t>
        </is>
      </c>
      <c r="B112" s="3" t="n">
        <v>22.757174</v>
      </c>
      <c r="C112" s="3" t="n">
        <v>21.147419</v>
      </c>
      <c r="D112" s="3" t="n">
        <v>1.609754999999996</v>
      </c>
      <c r="E112" s="3" t="n">
        <v>5.519734999999994</v>
      </c>
      <c r="F112" s="3" t="n">
        <v>241.042696</v>
      </c>
      <c r="G112" t="inlineStr"/>
      <c r="H112" s="3" t="n">
        <v>62.796</v>
      </c>
      <c r="I112" s="3" t="n">
        <v>62.376</v>
      </c>
      <c r="J112" s="3" t="n">
        <v>3.126217937754894</v>
      </c>
      <c r="K112" t="inlineStr">
        <is>
          <t>IMF IL (api.imf.org, IMF.STA:IL 13.0.1) TRGNV_REVS / RXF11_REVS, USD</t>
        </is>
      </c>
    </row>
    <row r="113">
      <c r="A113" t="inlineStr">
        <is>
          <t>2019-04</t>
        </is>
      </c>
      <c r="B113" s="3" t="n">
        <v>20.418654</v>
      </c>
      <c r="C113" s="3" t="n">
        <v>20.901066</v>
      </c>
      <c r="D113" s="3" t="n">
        <v>-0.4824120000000001</v>
      </c>
      <c r="E113" s="3" t="n">
        <v>4.040126999999995</v>
      </c>
      <c r="F113" s="3" t="n">
        <v>244.433844</v>
      </c>
      <c r="G113" t="inlineStr"/>
      <c r="H113" s="3" t="n">
        <v>64.67700000000001</v>
      </c>
      <c r="I113" s="3" t="n">
        <v>64.261</v>
      </c>
      <c r="J113" s="3" t="n">
        <v>3.175190420848596</v>
      </c>
      <c r="K113" t="inlineStr">
        <is>
          <t>IMF IL (api.imf.org, IMF.STA:IL 13.0.1) TRGNV_REVS / RXF11_REVS, USD</t>
        </is>
      </c>
    </row>
    <row r="114">
      <c r="A114" t="inlineStr">
        <is>
          <t>2019-05</t>
        </is>
      </c>
      <c r="B114" s="3" t="n">
        <v>21.88865</v>
      </c>
      <c r="C114" s="3" t="n">
        <v>23.077413</v>
      </c>
      <c r="D114" s="3" t="n">
        <v>-1.188762999999998</v>
      </c>
      <c r="E114" s="3" t="n">
        <v>3.891321000000001</v>
      </c>
      <c r="F114" s="3" t="n">
        <v>246.467766</v>
      </c>
      <c r="G114" t="inlineStr"/>
      <c r="H114" s="3" t="n">
        <v>63.977</v>
      </c>
      <c r="I114" s="3" t="n">
        <v>63.556</v>
      </c>
      <c r="J114" s="3" t="n">
        <v>3.114906311927216</v>
      </c>
      <c r="K114" t="inlineStr">
        <is>
          <t>IMF IL (api.imf.org, IMF.STA:IL 13.0.1) TRGNV_REVS / RXF11_REVS, USD</t>
        </is>
      </c>
    </row>
    <row r="115">
      <c r="A115" t="inlineStr">
        <is>
          <t>2019-06</t>
        </is>
      </c>
      <c r="B115" s="3" t="n">
        <v>21.43659</v>
      </c>
      <c r="C115" s="3" t="n">
        <v>19.462486</v>
      </c>
      <c r="D115" s="3" t="n">
        <v>1.974103999999997</v>
      </c>
      <c r="E115" s="3" t="n">
        <v>5.241039999999998</v>
      </c>
      <c r="F115" s="3" t="n">
        <v>246.652348</v>
      </c>
      <c r="G115" t="inlineStr"/>
      <c r="H115" s="3" t="n">
        <v>64.739</v>
      </c>
      <c r="I115" s="3" t="n">
        <v>64.28</v>
      </c>
      <c r="J115" s="3" t="n">
        <v>3.149647697657433</v>
      </c>
      <c r="K115" t="inlineStr">
        <is>
          <t>IMF IL (api.imf.org, IMF.STA:IL 13.0.1) TRGNV_REVS / RXF11_REVS, USD</t>
        </is>
      </c>
    </row>
    <row r="116">
      <c r="A116" t="inlineStr">
        <is>
          <t>2019-07</t>
        </is>
      </c>
      <c r="B116" s="3" t="n">
        <v>22.929921</v>
      </c>
      <c r="C116" s="3" t="n">
        <v>22.667538</v>
      </c>
      <c r="D116" s="3" t="n">
        <v>0.2623829999999998</v>
      </c>
      <c r="E116" s="3" t="n">
        <v>6.150229</v>
      </c>
      <c r="F116" s="3" t="n">
        <v>247.989939</v>
      </c>
      <c r="G116" t="inlineStr"/>
      <c r="H116" s="3" t="n">
        <v>65.20999999999999</v>
      </c>
      <c r="I116" s="3" t="n">
        <v>64.745</v>
      </c>
      <c r="J116" s="3" t="n">
        <v>3.155450592695214</v>
      </c>
      <c r="K116" t="inlineStr">
        <is>
          <t>IMF IL (api.imf.org, IMF.STA:IL 13.0.1) TRGNV_REVS / RXF11_REVS, USD</t>
        </is>
      </c>
    </row>
    <row r="117">
      <c r="A117" t="inlineStr">
        <is>
          <t>2019-08</t>
        </is>
      </c>
      <c r="B117" s="3" t="n">
        <v>25.855689</v>
      </c>
      <c r="C117" s="3" t="n">
        <v>22.362935</v>
      </c>
      <c r="D117" s="3" t="n">
        <v>3.492753999999998</v>
      </c>
      <c r="E117" s="3" t="n">
        <v>7.403668999999994</v>
      </c>
      <c r="F117" s="3" t="n">
        <v>249.148485</v>
      </c>
      <c r="G117" t="inlineStr"/>
      <c r="H117" s="3" t="n">
        <v>67.223</v>
      </c>
      <c r="I117" s="3" t="n">
        <v>66.727</v>
      </c>
      <c r="J117" s="3" t="n">
        <v>3.237731909146467</v>
      </c>
      <c r="K117" t="inlineStr">
        <is>
          <t>IMF IL (api.imf.org, IMF.STA:IL 13.0.1) TRGNV_REVS / RXF11_REVS, USD</t>
        </is>
      </c>
    </row>
    <row r="118">
      <c r="A118" t="inlineStr">
        <is>
          <t>2019-09</t>
        </is>
      </c>
      <c r="B118" s="3" t="n">
        <v>23.300957</v>
      </c>
      <c r="C118" s="3" t="n">
        <v>21.499485</v>
      </c>
      <c r="D118" s="3" t="n">
        <v>1.801471999999997</v>
      </c>
      <c r="E118" s="3" t="n">
        <v>7.560330999999987</v>
      </c>
      <c r="F118" s="3" t="n">
        <v>251.189807</v>
      </c>
      <c r="G118" t="inlineStr"/>
      <c r="H118" s="3" t="n">
        <v>69.673</v>
      </c>
      <c r="I118" s="3" t="n">
        <v>69.187</v>
      </c>
      <c r="J118" s="3" t="n">
        <v>3.328463085287533</v>
      </c>
      <c r="K118" t="inlineStr">
        <is>
          <t>IMF IL (api.imf.org, IMF.STA:IL 13.0.1) TRGNV_REVS / RXF11_REVS, USD</t>
        </is>
      </c>
    </row>
    <row r="119">
      <c r="A119" t="inlineStr">
        <is>
          <t>2019-10</t>
        </is>
      </c>
      <c r="B119" s="3" t="n">
        <v>24.291499</v>
      </c>
      <c r="C119" s="3" t="n">
        <v>22.26246</v>
      </c>
      <c r="D119" s="3" t="n">
        <v>2.029038999999997</v>
      </c>
      <c r="E119" s="3" t="n">
        <v>8.803080999999988</v>
      </c>
      <c r="F119" s="3" t="n">
        <v>251.707511</v>
      </c>
      <c r="G119" t="inlineStr"/>
      <c r="H119" s="3" t="n">
        <v>70.998</v>
      </c>
      <c r="I119" s="3" t="n">
        <v>70.511</v>
      </c>
      <c r="J119" s="3" t="n">
        <v>3.384785764299262</v>
      </c>
      <c r="K119" t="inlineStr">
        <is>
          <t>IMF IL (api.imf.org, IMF.STA:IL 13.0.1) TRGNV_REVS / RXF11_REVS, USD</t>
        </is>
      </c>
    </row>
    <row r="120">
      <c r="A120" t="inlineStr">
        <is>
          <t>2019-11</t>
        </is>
      </c>
      <c r="B120" s="3" t="n">
        <v>22.798002</v>
      </c>
      <c r="C120" s="3" t="n">
        <v>21.343635</v>
      </c>
      <c r="D120" s="3" t="n">
        <v>1.454367000000001</v>
      </c>
      <c r="E120" s="3" t="n">
        <v>10.00599499999999</v>
      </c>
      <c r="F120" s="3" t="n">
        <v>251.524626</v>
      </c>
      <c r="G120" t="inlineStr"/>
      <c r="H120" s="3" t="n">
        <v>74.30200000000001</v>
      </c>
      <c r="I120" s="3" t="n">
        <v>73.828</v>
      </c>
      <c r="J120" s="3" t="n">
        <v>3.544877550081319</v>
      </c>
      <c r="K120" t="inlineStr">
        <is>
          <t>IMF IL (api.imf.org, IMF.STA:IL 13.0.1) TRGNV_REVS / RXF11_REVS, USD</t>
        </is>
      </c>
    </row>
    <row r="121">
      <c r="A121" t="inlineStr">
        <is>
          <t>2019-12</t>
        </is>
      </c>
      <c r="B121" s="3" t="n">
        <v>22.528375</v>
      </c>
      <c r="C121" s="3" t="n">
        <v>22.412399</v>
      </c>
      <c r="D121" s="3" t="n">
        <v>0.1159759999999999</v>
      </c>
      <c r="E121" s="3" t="n">
        <v>10.87417399999999</v>
      </c>
      <c r="F121" s="3" t="n">
        <v>253.393466</v>
      </c>
      <c r="G121" s="3" t="n">
        <v>3.37</v>
      </c>
      <c r="H121" s="3" t="n">
        <v>78.81</v>
      </c>
      <c r="I121" s="3" t="n">
        <v>78.33499999999999</v>
      </c>
      <c r="J121" s="3" t="n">
        <v>3.732219361962553</v>
      </c>
      <c r="K121" t="inlineStr">
        <is>
          <t>IMF IL (api.imf.org, IMF.STA:IL 13.0.1) TRGNV_REVS / RXF11_REVS, USD</t>
        </is>
      </c>
    </row>
    <row r="122">
      <c r="A122" t="inlineStr">
        <is>
          <t>2020-01</t>
        </is>
      </c>
      <c r="B122" s="3" t="n">
        <v>18.401321</v>
      </c>
      <c r="C122" s="3" t="n">
        <v>18.724045</v>
      </c>
      <c r="D122" s="3" t="n">
        <v>-0.3227239999999973</v>
      </c>
      <c r="E122" s="3" t="n">
        <v>9.931084999999992</v>
      </c>
      <c r="F122" s="3" t="n">
        <v>250.554399</v>
      </c>
      <c r="G122" t="inlineStr"/>
      <c r="H122" s="3" t="n">
        <v>82.03700000000001</v>
      </c>
      <c r="I122" s="3" t="n">
        <v>81.52500000000001</v>
      </c>
      <c r="J122" s="3" t="n">
        <v>3.92906292577206</v>
      </c>
      <c r="K122" t="inlineStr">
        <is>
          <t>IMF IL (api.imf.org, IMF.STA:IL 13.0.1) TRGNV_REVS / RXF11_REVS, USD</t>
        </is>
      </c>
    </row>
    <row r="123">
      <c r="A123" t="inlineStr">
        <is>
          <t>2020-02</t>
        </is>
      </c>
      <c r="B123" s="3" t="n">
        <v>20.990249</v>
      </c>
      <c r="C123" s="3" t="n">
        <v>18.798604</v>
      </c>
      <c r="D123" s="3" t="n">
        <v>2.191644999999998</v>
      </c>
      <c r="E123" s="3" t="n">
        <v>12.93759599999999</v>
      </c>
      <c r="F123" s="3" t="n">
        <v>254.659485</v>
      </c>
      <c r="G123" t="inlineStr"/>
      <c r="H123" s="3" t="n">
        <v>81.654</v>
      </c>
      <c r="I123" s="3" t="n">
        <v>81.12</v>
      </c>
      <c r="J123" s="3" t="n">
        <v>3.847679186188568</v>
      </c>
      <c r="K123" t="inlineStr">
        <is>
          <t>IMF IL (api.imf.org, IMF.STA:IL 13.0.1) TRGNV_REVS / RXF11_REVS, USD</t>
        </is>
      </c>
    </row>
    <row r="124">
      <c r="A124" t="inlineStr">
        <is>
          <t>2020-03</t>
        </is>
      </c>
      <c r="B124" s="3" t="n">
        <v>24.00669</v>
      </c>
      <c r="C124" s="3" t="n">
        <v>22.063754</v>
      </c>
      <c r="D124" s="3" t="n">
        <v>1.942936</v>
      </c>
      <c r="E124" s="3" t="n">
        <v>13.27077699999999</v>
      </c>
      <c r="F124" s="3" t="n">
        <v>255.57582</v>
      </c>
      <c r="G124" t="inlineStr"/>
      <c r="H124" s="3" t="n">
        <v>82.20399999999999</v>
      </c>
      <c r="I124" s="3" t="n">
        <v>81.679</v>
      </c>
      <c r="J124" s="3" t="n">
        <v>3.859707854991915</v>
      </c>
      <c r="K124" t="inlineStr">
        <is>
          <t>IMF IL (api.imf.org, IMF.STA:IL 13.0.1) TRGNV_REVS / RXF11_REVS, USD</t>
        </is>
      </c>
    </row>
    <row r="125">
      <c r="A125" t="inlineStr">
        <is>
          <t>2020-04</t>
        </is>
      </c>
      <c r="B125" s="3" t="n">
        <v>17.600887</v>
      </c>
      <c r="C125" s="3" t="n">
        <v>18.805357</v>
      </c>
      <c r="D125" s="3" t="n">
        <v>-1.204470000000001</v>
      </c>
      <c r="E125" s="3" t="n">
        <v>12.54871899999999</v>
      </c>
      <c r="F125" s="3" t="n">
        <v>253.480111</v>
      </c>
      <c r="G125" t="inlineStr"/>
      <c r="H125" s="3" t="n">
        <v>82.34699999999999</v>
      </c>
      <c r="I125" s="3" t="n">
        <v>81.791</v>
      </c>
      <c r="J125" s="3" t="n">
        <v>3.898388698433227</v>
      </c>
      <c r="K125" t="inlineStr">
        <is>
          <t>IMF IL (api.imf.org, IMF.STA:IL 13.0.1) TRGNV_REVS / RXF11_REVS, USD</t>
        </is>
      </c>
    </row>
    <row r="126">
      <c r="A126" t="inlineStr">
        <is>
          <t>2020-05</t>
        </is>
      </c>
      <c r="B126" s="3" t="n">
        <v>19.17012</v>
      </c>
      <c r="C126" s="3" t="n">
        <v>17.907244</v>
      </c>
      <c r="D126" s="3" t="n">
        <v>1.262876000000002</v>
      </c>
      <c r="E126" s="3" t="n">
        <v>15.00035799999999</v>
      </c>
      <c r="F126" s="3" t="n">
        <v>248.309942</v>
      </c>
      <c r="G126" t="inlineStr"/>
      <c r="H126" s="3" t="n">
        <v>83.782</v>
      </c>
      <c r="I126" s="3" t="n">
        <v>83.22199999999999</v>
      </c>
      <c r="J126" s="3" t="n">
        <v>4.048907554414393</v>
      </c>
      <c r="K126" t="inlineStr">
        <is>
          <t>IMF IL (api.imf.org, IMF.STA:IL 13.0.1) TRGNV_REVS / RXF11_REVS, USD</t>
        </is>
      </c>
    </row>
    <row r="127">
      <c r="A127" t="inlineStr">
        <is>
          <t>2020-06</t>
        </is>
      </c>
      <c r="B127" s="3" t="n">
        <v>22.595504</v>
      </c>
      <c r="C127" s="3" t="n">
        <v>20.601606</v>
      </c>
      <c r="D127" s="3" t="n">
        <v>1.993898000000002</v>
      </c>
      <c r="E127" s="3" t="n">
        <v>15.020152</v>
      </c>
      <c r="F127" s="3" t="n">
        <v>249.449062</v>
      </c>
      <c r="G127" t="inlineStr"/>
      <c r="H127" s="3" t="n">
        <v>84.321</v>
      </c>
      <c r="I127" s="3" t="n">
        <v>83.747</v>
      </c>
      <c r="J127" s="3" t="n">
        <v>4.05634718321771</v>
      </c>
      <c r="K127" t="inlineStr">
        <is>
          <t>IMF IL (api.imf.org, IMF.STA:IL 13.0.1) TRGNV_REVS / RXF11_REVS, USD</t>
        </is>
      </c>
    </row>
    <row r="128">
      <c r="A128" t="inlineStr">
        <is>
          <t>2020-07</t>
        </is>
      </c>
      <c r="B128" s="3" t="n">
        <v>24.908674</v>
      </c>
      <c r="C128" s="3" t="n">
        <v>22.085964</v>
      </c>
      <c r="D128" s="3" t="n">
        <v>2.822709999999997</v>
      </c>
      <c r="E128" s="3" t="n">
        <v>17.58047899999999</v>
      </c>
      <c r="F128" s="3" t="n">
        <v>248.867488</v>
      </c>
      <c r="G128" t="inlineStr"/>
      <c r="H128" s="3" t="n">
        <v>85.15000000000001</v>
      </c>
      <c r="I128" s="3" t="n">
        <v>84.509</v>
      </c>
      <c r="J128" s="3" t="n">
        <v>4.105799468671457</v>
      </c>
      <c r="K128" t="inlineStr">
        <is>
          <t>IMF IL (api.imf.org, IMF.STA:IL 13.0.1) TRGNV_REVS / RXF11_REVS, USD</t>
        </is>
      </c>
    </row>
    <row r="129">
      <c r="A129" t="inlineStr">
        <is>
          <t>2020-08</t>
        </is>
      </c>
      <c r="B129" s="3" t="n">
        <v>27.69964</v>
      </c>
      <c r="C129" s="3" t="n">
        <v>22.696787</v>
      </c>
      <c r="D129" s="3" t="n">
        <v>5.002852999999998</v>
      </c>
      <c r="E129" s="3" t="n">
        <v>19.09057799999999</v>
      </c>
      <c r="F129" s="3" t="n">
        <v>249.20134</v>
      </c>
      <c r="G129" t="inlineStr"/>
      <c r="H129" s="3" t="n">
        <v>88.82299999999999</v>
      </c>
      <c r="I129" s="3" t="n">
        <v>88.182</v>
      </c>
      <c r="J129" s="3" t="n">
        <v>4.277168012017913</v>
      </c>
      <c r="K129" t="inlineStr">
        <is>
          <t>IMF IL (api.imf.org, IMF.STA:IL 13.0.1) TRGNV_REVS / RXF11_REVS, USD</t>
        </is>
      </c>
    </row>
    <row r="130">
      <c r="A130" t="inlineStr">
        <is>
          <t>2020-09</t>
        </is>
      </c>
      <c r="B130" s="3" t="n">
        <v>27.167564</v>
      </c>
      <c r="C130" s="3" t="n">
        <v>24.19749</v>
      </c>
      <c r="D130" s="3" t="n">
        <v>2.970073999999997</v>
      </c>
      <c r="E130" s="3" t="n">
        <v>20.25917999999999</v>
      </c>
      <c r="F130" s="3" t="n">
        <v>251.899345</v>
      </c>
      <c r="G130" t="inlineStr"/>
      <c r="H130" s="3" t="n">
        <v>89.357</v>
      </c>
      <c r="I130" s="3" t="n">
        <v>88.73999999999999</v>
      </c>
      <c r="J130" s="3" t="n">
        <v>4.256795506951398</v>
      </c>
      <c r="K130" t="inlineStr">
        <is>
          <t>IMF IL (api.imf.org, IMF.STA:IL 13.0.1) TRGNV_REVS / RXF11_REVS, USD</t>
        </is>
      </c>
    </row>
    <row r="131">
      <c r="A131" t="inlineStr">
        <is>
          <t>2020-10</t>
        </is>
      </c>
      <c r="B131" s="3" t="n">
        <v>27.21025</v>
      </c>
      <c r="C131" s="3" t="n">
        <v>24.239099</v>
      </c>
      <c r="D131" s="3" t="n">
        <v>2.971150999999999</v>
      </c>
      <c r="E131" s="3" t="n">
        <v>21.201292</v>
      </c>
      <c r="F131" s="3" t="n">
        <v>253.875984</v>
      </c>
      <c r="G131" t="inlineStr"/>
      <c r="H131" s="3" t="n">
        <v>91.04900000000001</v>
      </c>
      <c r="I131" s="3" t="n">
        <v>90.441</v>
      </c>
      <c r="J131" s="3" t="n">
        <v>4.303628814295409</v>
      </c>
      <c r="K131" t="inlineStr">
        <is>
          <t>IMF IL (api.imf.org, IMF.STA:IL 13.0.1) TRGNV_REVS / RXF11_REVS, USD</t>
        </is>
      </c>
    </row>
    <row r="132">
      <c r="A132" t="inlineStr">
        <is>
          <t>2020-11</t>
        </is>
      </c>
      <c r="B132" s="3" t="n">
        <v>25.225003</v>
      </c>
      <c r="C132" s="3" t="n">
        <v>24.666262</v>
      </c>
      <c r="D132" s="3" t="n">
        <v>0.5587410000000013</v>
      </c>
      <c r="E132" s="3" t="n">
        <v>20.305666</v>
      </c>
      <c r="F132" s="3" t="n">
        <v>257.198611</v>
      </c>
      <c r="G132" t="inlineStr"/>
      <c r="H132" s="3" t="n">
        <v>93.52</v>
      </c>
      <c r="I132" s="3" t="n">
        <v>92.93899999999999</v>
      </c>
      <c r="J132" s="3" t="n">
        <v>4.363320609068141</v>
      </c>
      <c r="K132" t="inlineStr">
        <is>
          <t>IMF IL (api.imf.org, IMF.STA:IL 13.0.1) TRGNV_REVS / RXF11_REVS, USD</t>
        </is>
      </c>
    </row>
    <row r="133">
      <c r="A133" t="inlineStr">
        <is>
          <t>2020-12</t>
        </is>
      </c>
      <c r="B133" s="3" t="n">
        <v>27.653037</v>
      </c>
      <c r="C133" s="3" t="n">
        <v>27.904483</v>
      </c>
      <c r="D133" s="3" t="n">
        <v>-0.2514459999999978</v>
      </c>
      <c r="E133" s="3" t="n">
        <v>19.938244</v>
      </c>
      <c r="F133" s="3" t="n">
        <v>262.690695</v>
      </c>
      <c r="G133" s="3" t="n">
        <v>3.98</v>
      </c>
      <c r="H133" s="3" t="n">
        <v>95.452</v>
      </c>
      <c r="I133" s="3" t="n">
        <v>94.834</v>
      </c>
      <c r="J133" s="3" t="n">
        <v>4.360352390860285</v>
      </c>
      <c r="K133" t="inlineStr">
        <is>
          <t>IMF IL (api.imf.org, IMF.STA:IL 13.0.1) TRGNV_REVS / RXF11_REVS, USD</t>
        </is>
      </c>
    </row>
    <row r="134">
      <c r="A134" t="inlineStr">
        <is>
          <t>2021-01</t>
        </is>
      </c>
      <c r="B134" s="3" t="n">
        <v>28.5470297</v>
      </c>
      <c r="C134" s="3" t="n">
        <v>26.586037306</v>
      </c>
      <c r="D134" s="3" t="n">
        <v>1.960992394000002</v>
      </c>
      <c r="E134" s="3" t="n">
        <v>22.221960394</v>
      </c>
      <c r="F134" s="3" t="n">
        <v>270.552687306</v>
      </c>
      <c r="G134" t="inlineStr"/>
      <c r="H134" s="3" t="n">
        <v>98.021</v>
      </c>
      <c r="I134" s="3" t="n">
        <v>97.422</v>
      </c>
      <c r="J134" s="3" t="n">
        <v>4.347589416732119</v>
      </c>
      <c r="K134" t="inlineStr">
        <is>
          <t>IMF IL (api.imf.org, IMF.STA:IL 13.0.1) TRGNV_REVS / RXF11_REVS, USD</t>
        </is>
      </c>
    </row>
    <row r="135">
      <c r="A135" t="inlineStr">
        <is>
          <t>2021-02</t>
        </is>
      </c>
      <c r="B135" s="3" t="n">
        <v>20.26994713</v>
      </c>
      <c r="C135" s="3" t="n">
        <v>20.828748515</v>
      </c>
      <c r="D135" s="3" t="n">
        <v>-0.5588013849999989</v>
      </c>
      <c r="E135" s="3" t="n">
        <v>19.471514009</v>
      </c>
      <c r="F135" s="3" t="n">
        <v>272.582831821</v>
      </c>
      <c r="G135" t="inlineStr"/>
      <c r="H135" s="3" t="n">
        <v>98.682</v>
      </c>
      <c r="I135" s="3" t="n">
        <v>98.10599999999999</v>
      </c>
      <c r="J135" s="3" t="n">
        <v>4.344308818310433</v>
      </c>
      <c r="K135" t="inlineStr">
        <is>
          <t>IMF IL (api.imf.org, IMF.STA:IL 13.0.1) TRGNV_REVS / RXF11_REVS, USD</t>
        </is>
      </c>
    </row>
    <row r="136">
      <c r="A136" t="inlineStr">
        <is>
          <t>2021-03</t>
        </is>
      </c>
      <c r="B136" s="3" t="n">
        <v>29.7384638</v>
      </c>
      <c r="C136" s="3" t="n">
        <v>28.684959358</v>
      </c>
      <c r="D136" s="3" t="n">
        <v>1.053504442000001</v>
      </c>
      <c r="E136" s="3" t="n">
        <v>18.582082451</v>
      </c>
      <c r="F136" s="3" t="n">
        <v>279.204037179</v>
      </c>
      <c r="G136" t="inlineStr"/>
      <c r="H136" s="3" t="n">
        <v>98.85899999999999</v>
      </c>
      <c r="I136" s="3" t="n">
        <v>98.31100000000001</v>
      </c>
      <c r="J136" s="3" t="n">
        <v>4.248892716545671</v>
      </c>
      <c r="K136" t="inlineStr">
        <is>
          <t>IMF IL (api.imf.org, IMF.STA:IL 13.0.1) TRGNV_REVS / RXF11_REVS, USD</t>
        </is>
      </c>
    </row>
    <row r="137">
      <c r="A137" t="inlineStr">
        <is>
          <t>2021-04</t>
        </is>
      </c>
      <c r="B137" s="3" t="n">
        <v>26.61314987</v>
      </c>
      <c r="C137" s="3" t="n">
        <v>27.956348928</v>
      </c>
      <c r="D137" s="3" t="n">
        <v>-1.343199058</v>
      </c>
      <c r="E137" s="3" t="n">
        <v>18.443353393</v>
      </c>
      <c r="F137" s="3" t="n">
        <v>288.355029107</v>
      </c>
      <c r="G137" t="inlineStr"/>
      <c r="H137" s="3" t="n">
        <v>101.416</v>
      </c>
      <c r="I137" s="3" t="n">
        <v>100.835</v>
      </c>
      <c r="J137" s="3" t="n">
        <v>4.220463932149456</v>
      </c>
      <c r="K137" t="inlineStr">
        <is>
          <t>IMF IL (api.imf.org, IMF.STA:IL 13.0.1) TRGNV_REVS / RXF11_REVS, USD</t>
        </is>
      </c>
    </row>
    <row r="138">
      <c r="A138" t="inlineStr">
        <is>
          <t>2021-05</t>
        </is>
      </c>
      <c r="B138" s="3" t="n">
        <v>26.18948</v>
      </c>
      <c r="C138" s="3" t="n">
        <v>28.541854922</v>
      </c>
      <c r="D138" s="3" t="n">
        <v>-2.352374921999999</v>
      </c>
      <c r="E138" s="3" t="n">
        <v>14.828102471</v>
      </c>
      <c r="F138" s="3" t="n">
        <v>298.989640029</v>
      </c>
      <c r="G138" t="inlineStr"/>
      <c r="H138" s="3" t="n">
        <v>102.28</v>
      </c>
      <c r="I138" s="3" t="n">
        <v>101.66</v>
      </c>
      <c r="J138" s="3" t="n">
        <v>4.105025177062839</v>
      </c>
      <c r="K138" t="inlineStr">
        <is>
          <t>IMF IL (api.imf.org, IMF.STA:IL 13.0.1) TRGNV_REVS / RXF11_REVS, USD</t>
        </is>
      </c>
    </row>
    <row r="139">
      <c r="A139" t="inlineStr">
        <is>
          <t>2021-06</t>
        </is>
      </c>
      <c r="B139" s="3" t="n">
        <v>27.21067144</v>
      </c>
      <c r="C139" s="3" t="n">
        <v>27.828694775</v>
      </c>
      <c r="D139" s="3" t="n">
        <v>-0.6180233350000002</v>
      </c>
      <c r="E139" s="3" t="n">
        <v>12.216181136</v>
      </c>
      <c r="F139" s="3" t="n">
        <v>306.216728804</v>
      </c>
      <c r="G139" t="inlineStr"/>
      <c r="H139" s="3" t="n">
        <v>100.789</v>
      </c>
      <c r="I139" s="3" t="n">
        <v>100.216</v>
      </c>
      <c r="J139" s="3" t="n">
        <v>3.949712364585227</v>
      </c>
      <c r="K139" t="inlineStr">
        <is>
          <t>IMF IL (api.imf.org, IMF.STA:IL 13.0.1) TRGNV_REVS / RXF11_REVS, USD</t>
        </is>
      </c>
    </row>
    <row r="140">
      <c r="A140" t="inlineStr">
        <is>
          <t>2021-07</t>
        </is>
      </c>
      <c r="B140" s="3" t="n">
        <v>27.85217902</v>
      </c>
      <c r="C140" s="3" t="n">
        <v>29.299795526</v>
      </c>
      <c r="D140" s="3" t="n">
        <v>-1.447616505999999</v>
      </c>
      <c r="E140" s="3" t="n">
        <v>7.945854630000003</v>
      </c>
      <c r="F140" s="3" t="n">
        <v>313.43056033</v>
      </c>
      <c r="G140" t="inlineStr"/>
      <c r="H140" s="3" t="n">
        <v>102.874</v>
      </c>
      <c r="I140" s="3" t="n">
        <v>102.279</v>
      </c>
      <c r="J140" s="3" t="n">
        <v>3.938633165509614</v>
      </c>
      <c r="K140" t="inlineStr">
        <is>
          <t>IMF IL (api.imf.org, IMF.STA:IL 13.0.1) TRGNV_REVS / RXF11_REVS, USD</t>
        </is>
      </c>
    </row>
    <row r="141">
      <c r="A141" t="inlineStr">
        <is>
          <t>2021-08</t>
        </is>
      </c>
      <c r="B141" s="3" t="n">
        <v>27.3302951</v>
      </c>
      <c r="C141" s="3" t="n">
        <v>27.540503181</v>
      </c>
      <c r="D141" s="3" t="n">
        <v>-0.2102080809999975</v>
      </c>
      <c r="E141" s="3" t="n">
        <v>2.732793549000007</v>
      </c>
      <c r="F141" s="3" t="n">
        <v>318.274276511</v>
      </c>
      <c r="G141" t="inlineStr"/>
      <c r="H141" s="3" t="n">
        <v>107.524</v>
      </c>
      <c r="I141" s="3" t="n">
        <v>106.935</v>
      </c>
      <c r="J141" s="3" t="n">
        <v>4.054012828634632</v>
      </c>
      <c r="K141" t="inlineStr">
        <is>
          <t>IMF IL (api.imf.org, IMF.STA:IL 13.0.1) TRGNV_REVS / RXF11_REVS, USD</t>
        </is>
      </c>
    </row>
    <row r="142">
      <c r="A142" t="inlineStr">
        <is>
          <t>2021-09</t>
        </is>
      </c>
      <c r="B142" s="3" t="n">
        <v>27.13245994</v>
      </c>
      <c r="C142" s="3" t="n">
        <v>27.055002749</v>
      </c>
      <c r="D142" s="3" t="n">
        <v>0.07745719100000059</v>
      </c>
      <c r="E142" s="3" t="n">
        <v>-0.1598232599999889</v>
      </c>
      <c r="F142" s="3" t="n">
        <v>321.13178926</v>
      </c>
      <c r="G142" t="inlineStr"/>
      <c r="H142" s="3" t="n">
        <v>107.742</v>
      </c>
      <c r="I142" s="3" t="n">
        <v>107.179</v>
      </c>
      <c r="J142" s="3" t="n">
        <v>4.02608537441685</v>
      </c>
      <c r="K142" t="inlineStr">
        <is>
          <t>IMF IL (api.imf.org, IMF.STA:IL 13.0.1) TRGNV_REVS / RXF11_REVS, USD</t>
        </is>
      </c>
    </row>
    <row r="143">
      <c r="A143" t="inlineStr">
        <is>
          <t>2021-10</t>
        </is>
      </c>
      <c r="B143" s="3" t="n">
        <v>28.95425999</v>
      </c>
      <c r="C143" s="3" t="n">
        <v>26.149852179</v>
      </c>
      <c r="D143" s="3" t="n">
        <v>2.804407810999997</v>
      </c>
      <c r="E143" s="3" t="n">
        <v>-0.3265664489999907</v>
      </c>
      <c r="F143" s="3" t="n">
        <v>323.042542439</v>
      </c>
      <c r="G143" t="inlineStr"/>
      <c r="H143" s="3" t="n">
        <v>107.968</v>
      </c>
      <c r="I143" s="3" t="n">
        <v>107.382</v>
      </c>
      <c r="J143" s="3" t="n">
        <v>4.010666800161935</v>
      </c>
      <c r="K143" t="inlineStr">
        <is>
          <t>IMF IL (api.imf.org, IMF.STA:IL 13.0.1) TRGNV_REVS / RXF11_REVS, USD</t>
        </is>
      </c>
    </row>
    <row r="144">
      <c r="A144" t="inlineStr">
        <is>
          <t>2021-11</t>
        </is>
      </c>
      <c r="B144" s="3" t="n">
        <v>31.856548</v>
      </c>
      <c r="C144" s="3" t="n">
        <v>30.625684419</v>
      </c>
      <c r="D144" s="3" t="n">
        <v>1.230863580999998</v>
      </c>
      <c r="E144" s="3" t="n">
        <v>0.3455561320000058</v>
      </c>
      <c r="F144" s="3" t="n">
        <v>329.001964858</v>
      </c>
      <c r="G144" t="inlineStr"/>
      <c r="H144" s="3" t="n">
        <v>110.546</v>
      </c>
      <c r="I144" s="3" t="n">
        <v>109.965</v>
      </c>
      <c r="J144" s="3" t="n">
        <v>4.032048868074544</v>
      </c>
      <c r="K144" t="inlineStr">
        <is>
          <t>IMF IL (api.imf.org, IMF.STA:IL 13.0.1) TRGNV_REVS / RXF11_REVS, USD</t>
        </is>
      </c>
    </row>
    <row r="145">
      <c r="A145" t="inlineStr">
        <is>
          <t>2021-12</t>
        </is>
      </c>
      <c r="B145" s="3" t="n">
        <v>34.47235559</v>
      </c>
      <c r="C145" s="3" t="n">
        <v>31.745080539</v>
      </c>
      <c r="D145" s="3" t="n">
        <v>2.727275050999999</v>
      </c>
      <c r="E145" s="3" t="n">
        <v>3.324277183000003</v>
      </c>
      <c r="F145" s="3" t="n">
        <v>332.842562397</v>
      </c>
      <c r="G145" s="3" t="n">
        <v>3.69</v>
      </c>
      <c r="H145" s="3" t="n">
        <v>109.963</v>
      </c>
      <c r="I145" s="3" t="n">
        <v>109.371</v>
      </c>
      <c r="J145" s="3" t="n">
        <v>3.964504991480301</v>
      </c>
      <c r="K145" t="inlineStr">
        <is>
          <t>IMF IL (api.imf.org, IMF.STA:IL 13.0.1) TRGNV_REVS / RXF11_REVS, USD</t>
        </is>
      </c>
    </row>
    <row r="146">
      <c r="A146" t="inlineStr">
        <is>
          <t>2022-01</t>
        </is>
      </c>
      <c r="B146" s="3" t="n">
        <v>30.84461176</v>
      </c>
      <c r="C146" s="3" t="n">
        <v>29.449124632</v>
      </c>
      <c r="D146" s="3" t="n">
        <v>1.395487127999999</v>
      </c>
      <c r="E146" s="3" t="n">
        <v>2.758771917000001</v>
      </c>
      <c r="F146" s="3" t="n">
        <v>335.705649723</v>
      </c>
      <c r="G146" t="inlineStr"/>
      <c r="H146" s="3" t="n">
        <v>112.154</v>
      </c>
      <c r="I146" s="3" t="n">
        <v>111.569</v>
      </c>
      <c r="J146" s="3" t="n">
        <v>4.009012064916084</v>
      </c>
      <c r="K146" t="inlineStr">
        <is>
          <t>IMF IL (api.imf.org, IMF.STA:IL 13.0.1) TRGNV_REVS / RXF11_REVS, USD</t>
        </is>
      </c>
    </row>
    <row r="147">
      <c r="A147" t="inlineStr">
        <is>
          <t>2022-02</t>
        </is>
      </c>
      <c r="B147" s="3" t="n">
        <v>23.41704698</v>
      </c>
      <c r="C147" s="3" t="n">
        <v>25.380703591</v>
      </c>
      <c r="D147" s="3" t="n">
        <v>-1.963656611000001</v>
      </c>
      <c r="E147" s="3" t="n">
        <v>1.353916690999998</v>
      </c>
      <c r="F147" s="3" t="n">
        <v>340.257604799</v>
      </c>
      <c r="G147" t="inlineStr"/>
      <c r="H147" s="3" t="n">
        <v>111.528</v>
      </c>
      <c r="I147" s="3" t="n">
        <v>110.904</v>
      </c>
      <c r="J147" s="3" t="n">
        <v>3.933302242548242</v>
      </c>
      <c r="K147" t="inlineStr">
        <is>
          <t>IMF IL (api.imf.org, IMF.STA:IL 13.0.1) TRGNV_REVS / RXF11_REVS, USD</t>
        </is>
      </c>
    </row>
    <row r="148">
      <c r="A148" t="inlineStr">
        <is>
          <t>2022-03</t>
        </is>
      </c>
      <c r="B148" s="3" t="n">
        <v>34.71150593</v>
      </c>
      <c r="C148" s="3" t="n">
        <v>32.662639963</v>
      </c>
      <c r="D148" s="3" t="n">
        <v>2.048865966999998</v>
      </c>
      <c r="E148" s="3" t="n">
        <v>2.349278215999995</v>
      </c>
      <c r="F148" s="3" t="n">
        <v>344.235285404</v>
      </c>
      <c r="G148" t="inlineStr"/>
      <c r="H148" s="3" t="n">
        <v>108.869</v>
      </c>
      <c r="I148" s="3" t="n">
        <v>108.24</v>
      </c>
      <c r="J148" s="3" t="n">
        <v>3.795160041384936</v>
      </c>
      <c r="K148" t="inlineStr">
        <is>
          <t>IMF IL (api.imf.org, IMF.STA:IL 13.0.1) TRGNV_REVS / RXF11_REVS, USD</t>
        </is>
      </c>
    </row>
    <row r="149">
      <c r="A149" t="inlineStr">
        <is>
          <t>2022-04</t>
        </is>
      </c>
      <c r="B149" s="3" t="n">
        <v>33.31678482</v>
      </c>
      <c r="C149" s="3" t="n">
        <v>32.467678962</v>
      </c>
      <c r="D149" s="3" t="n">
        <v>0.8491058580000015</v>
      </c>
      <c r="E149" s="3" t="n">
        <v>4.541583131999996</v>
      </c>
      <c r="F149" s="3" t="n">
        <v>348.746615438</v>
      </c>
      <c r="G149" t="inlineStr"/>
      <c r="H149" s="3" t="n">
        <v>107.915</v>
      </c>
      <c r="I149" s="3" t="n">
        <v>107.296</v>
      </c>
      <c r="J149" s="3" t="n">
        <v>3.713240337468511</v>
      </c>
      <c r="K149" t="inlineStr">
        <is>
          <t>IMF IL (api.imf.org, IMF.STA:IL 13.0.1) TRGNV_REVS / RXF11_REVS, USD</t>
        </is>
      </c>
    </row>
    <row r="150">
      <c r="A150" t="inlineStr">
        <is>
          <t>2022-05</t>
        </is>
      </c>
      <c r="B150" s="3" t="n">
        <v>30.9178988</v>
      </c>
      <c r="C150" s="3" t="n">
        <v>32.615979741</v>
      </c>
      <c r="D150" s="3" t="n">
        <v>-1.698080940999997</v>
      </c>
      <c r="E150" s="3" t="n">
        <v>5.195877112999998</v>
      </c>
      <c r="F150" s="3" t="n">
        <v>352.820740257</v>
      </c>
      <c r="G150" t="inlineStr"/>
      <c r="H150" s="3" t="n">
        <v>105.354</v>
      </c>
      <c r="I150" s="3" t="n">
        <v>104.752</v>
      </c>
      <c r="J150" s="3" t="n">
        <v>3.583258736657891</v>
      </c>
      <c r="K150" t="inlineStr">
        <is>
          <t>IMF IL (api.imf.org, IMF.STA:IL 13.0.1) TRGNV_REVS / RXF11_REVS, USD</t>
        </is>
      </c>
    </row>
    <row r="151">
      <c r="A151" t="inlineStr">
        <is>
          <t>2022-06</t>
        </is>
      </c>
      <c r="B151" s="3" t="n">
        <v>32.84336686</v>
      </c>
      <c r="C151" s="3" t="n">
        <v>32.232750117</v>
      </c>
      <c r="D151" s="3" t="n">
        <v>0.6106167430000013</v>
      </c>
      <c r="E151" s="3" t="n">
        <v>6.424517191</v>
      </c>
      <c r="F151" s="3" t="n">
        <v>357.224795599</v>
      </c>
      <c r="G151" t="inlineStr"/>
      <c r="H151" s="3" t="n">
        <v>103.854</v>
      </c>
      <c r="I151" s="3" t="n">
        <v>103.262</v>
      </c>
      <c r="J151" s="3" t="n">
        <v>3.488693997039797</v>
      </c>
      <c r="K151" t="inlineStr">
        <is>
          <t>IMF IL (api.imf.org, IMF.STA:IL 13.0.1) TRGNV_REVS / RXF11_REVS, USD</t>
        </is>
      </c>
    </row>
    <row r="152">
      <c r="A152" t="inlineStr">
        <is>
          <t>2022-07</t>
        </is>
      </c>
      <c r="B152" s="3" t="n">
        <v>30.60749001</v>
      </c>
      <c r="C152" s="3" t="n">
        <v>30.533121209</v>
      </c>
      <c r="D152" s="3" t="n">
        <v>0.07436880100000209</v>
      </c>
      <c r="E152" s="3" t="n">
        <v>7.946502498000001</v>
      </c>
      <c r="F152" s="3" t="n">
        <v>358.458121282</v>
      </c>
      <c r="G152" t="inlineStr"/>
      <c r="H152" s="3" t="n">
        <v>101.008</v>
      </c>
      <c r="I152" s="3" t="n">
        <v>100.437</v>
      </c>
      <c r="J152" s="3" t="n">
        <v>3.381415925701515</v>
      </c>
      <c r="K152" t="inlineStr">
        <is>
          <t>IMF IL (api.imf.org, IMF.STA:IL 13.0.1) TRGNV_REVS / RXF11_REVS, USD</t>
        </is>
      </c>
    </row>
    <row r="153">
      <c r="A153" t="inlineStr">
        <is>
          <t>2022-08</t>
        </is>
      </c>
      <c r="B153" s="3" t="n">
        <v>33.38</v>
      </c>
      <c r="C153" s="3" t="n">
        <v>30.96</v>
      </c>
      <c r="D153" s="3" t="n">
        <v>2.420000000000002</v>
      </c>
      <c r="E153" s="3" t="n">
        <v>10.576710579</v>
      </c>
      <c r="F153" s="3" t="n">
        <v>361.877618101</v>
      </c>
      <c r="G153" t="inlineStr"/>
      <c r="H153" s="3" t="n">
        <v>94.46299999999999</v>
      </c>
      <c r="I153" s="3" t="n">
        <v>93.902</v>
      </c>
      <c r="J153" s="3" t="n">
        <v>3.132429150905997</v>
      </c>
      <c r="K153" t="inlineStr">
        <is>
          <t>IMF IL (api.imf.org, IMF.STA:IL 13.0.1) TRGNV_REVS / RXF11_REVS, USD</t>
        </is>
      </c>
    </row>
    <row r="154">
      <c r="A154" t="inlineStr">
        <is>
          <t>2022-09</t>
        </is>
      </c>
      <c r="B154" s="3" t="n">
        <v>29.94</v>
      </c>
      <c r="C154" s="3" t="n">
        <v>28.8</v>
      </c>
      <c r="D154" s="3" t="n">
        <v>1.140000000000001</v>
      </c>
      <c r="E154" s="3" t="n">
        <v>11.639253388</v>
      </c>
      <c r="F154" s="3" t="n">
        <v>363.622615352</v>
      </c>
      <c r="G154" t="inlineStr"/>
      <c r="H154" s="3" t="n">
        <v>88.125</v>
      </c>
      <c r="I154" s="3" t="n">
        <v>87.584</v>
      </c>
      <c r="J154" s="3" t="n">
        <v>2.908234953913142</v>
      </c>
      <c r="K154" t="inlineStr">
        <is>
          <t>IMF IL (api.imf.org, IMF.STA:IL 13.0.1) TRGNV_REVS / RXF11_REVS, USD</t>
        </is>
      </c>
    </row>
    <row r="155">
      <c r="A155" t="inlineStr">
        <is>
          <t>2022-10</t>
        </is>
      </c>
      <c r="B155" s="3" t="n">
        <v>30.27</v>
      </c>
      <c r="C155" s="3" t="n">
        <v>28</v>
      </c>
      <c r="D155" s="3" t="n">
        <v>2.27</v>
      </c>
      <c r="E155" s="3" t="n">
        <v>11.104845577</v>
      </c>
      <c r="F155" s="3" t="n">
        <v>365.472763173</v>
      </c>
      <c r="G155" t="inlineStr"/>
      <c r="H155" s="3" t="n">
        <v>86.423</v>
      </c>
      <c r="I155" s="3" t="n">
        <v>85.889</v>
      </c>
      <c r="J155" s="3" t="n">
        <v>2.837628694943514</v>
      </c>
      <c r="K155" t="inlineStr">
        <is>
          <t>IMF IL (api.imf.org, IMF.STA:IL 13.0.1) TRGNV_REVS / RXF11_REVS, USD</t>
        </is>
      </c>
    </row>
    <row r="156">
      <c r="A156" t="inlineStr">
        <is>
          <t>2022-11</t>
        </is>
      </c>
      <c r="B156" s="3" t="n">
        <v>29.18</v>
      </c>
      <c r="C156" s="3" t="n">
        <v>28.4</v>
      </c>
      <c r="D156" s="3" t="n">
        <v>0.7800000000000011</v>
      </c>
      <c r="E156" s="3" t="n">
        <v>10.65398199600001</v>
      </c>
      <c r="F156" s="3" t="n">
        <v>363.247078754</v>
      </c>
      <c r="G156" t="inlineStr"/>
      <c r="H156" s="3" t="n">
        <v>85.869</v>
      </c>
      <c r="I156" s="3" t="n">
        <v>85.29900000000001</v>
      </c>
      <c r="J156" s="3" t="n">
        <v>2.836713796941039</v>
      </c>
      <c r="K156" t="inlineStr">
        <is>
          <t>IMF IL (api.imf.org, IMF.STA:IL 13.0.1) TRGNV_REVS / RXF11_REVS, USD</t>
        </is>
      </c>
    </row>
    <row r="157">
      <c r="A157" t="inlineStr">
        <is>
          <t>2022-12</t>
        </is>
      </c>
      <c r="B157" s="3" t="n">
        <v>29.66</v>
      </c>
      <c r="C157" s="3" t="n">
        <v>29.16</v>
      </c>
      <c r="D157" s="3" t="n">
        <v>0.5</v>
      </c>
      <c r="E157" s="3" t="n">
        <v>8.426706945000006</v>
      </c>
      <c r="F157" s="3" t="n">
        <v>360.661998215</v>
      </c>
      <c r="G157" s="3" t="n">
        <v>2.65</v>
      </c>
      <c r="H157" s="3" t="n">
        <v>87.131</v>
      </c>
      <c r="I157" s="3" t="n">
        <v>86.54000000000001</v>
      </c>
      <c r="J157" s="3" t="n">
        <v>2.899035676546957</v>
      </c>
      <c r="K157" t="inlineStr">
        <is>
          <t>IMF IL (api.imf.org, IMF.STA:IL 13.0.1) TRGNV_REVS / RXF11_REVS, USD</t>
        </is>
      </c>
    </row>
    <row r="158">
      <c r="A158" t="inlineStr">
        <is>
          <t>2023-01</t>
        </is>
      </c>
      <c r="B158" s="3" t="n">
        <v>33.57</v>
      </c>
      <c r="C158" s="3" t="n">
        <v>30.65</v>
      </c>
      <c r="D158" s="3" t="n">
        <v>2.920000000000002</v>
      </c>
      <c r="E158" s="3" t="n">
        <v>9.951219817000009</v>
      </c>
      <c r="F158" s="3" t="n">
        <v>361.862873583</v>
      </c>
      <c r="G158" t="inlineStr"/>
      <c r="H158" s="3" t="n">
        <v>88.89700000000001</v>
      </c>
      <c r="I158" s="3" t="n">
        <v>88.271</v>
      </c>
      <c r="J158" s="3" t="n">
        <v>2.947978579392223</v>
      </c>
      <c r="K158" t="inlineStr">
        <is>
          <t>IMF IL (api.imf.org, IMF.STA:IL 13.0.1) TRGNV_REVS / RXF11_REVS, USD</t>
        </is>
      </c>
    </row>
    <row r="159">
      <c r="A159" t="inlineStr">
        <is>
          <t>2023-02</t>
        </is>
      </c>
      <c r="B159" s="3" t="n">
        <v>25.88</v>
      </c>
      <c r="C159" s="3" t="n">
        <v>23.58</v>
      </c>
      <c r="D159" s="3" t="n">
        <v>2.300000000000001</v>
      </c>
      <c r="E159" s="3" t="n">
        <v>14.21487642800001</v>
      </c>
      <c r="F159" s="3" t="n">
        <v>360.062169992</v>
      </c>
      <c r="G159" t="inlineStr"/>
      <c r="H159" s="3" t="n">
        <v>88.236</v>
      </c>
      <c r="I159" s="3" t="n">
        <v>87.645</v>
      </c>
      <c r="J159" s="3" t="n">
        <v>2.940692158866691</v>
      </c>
      <c r="K159" t="inlineStr">
        <is>
          <t>IMF IL (api.imf.org, IMF.STA:IL 13.0.1) TRGNV_REVS / RXF11_REVS, USD</t>
        </is>
      </c>
    </row>
    <row r="160">
      <c r="A160" t="inlineStr">
        <is>
          <t>2023-03</t>
        </is>
      </c>
      <c r="B160" s="3" t="n">
        <v>29.57</v>
      </c>
      <c r="C160" s="3" t="n">
        <v>28.92</v>
      </c>
      <c r="D160" s="3" t="n">
        <v>0.6499999999999986</v>
      </c>
      <c r="E160" s="3" t="n">
        <v>12.81601046100001</v>
      </c>
      <c r="F160" s="3" t="n">
        <v>356.319530029</v>
      </c>
      <c r="G160" t="inlineStr"/>
      <c r="H160" s="3" t="n">
        <v>88.85599999999999</v>
      </c>
      <c r="I160" s="3" t="n">
        <v>88.212</v>
      </c>
      <c r="J160" s="3" t="n">
        <v>2.992460166057187</v>
      </c>
      <c r="K160" t="inlineStr">
        <is>
          <t>IMF IL (api.imf.org, IMF.STA:IL 13.0.1) TRGNV_REVS / RXF11_REVS, USD</t>
        </is>
      </c>
    </row>
    <row r="161">
      <c r="A161" t="inlineStr">
        <is>
          <t>2023-04</t>
        </is>
      </c>
      <c r="B161" s="3" t="n">
        <v>26.03</v>
      </c>
      <c r="C161" s="3" t="n">
        <v>27.54</v>
      </c>
      <c r="D161" s="3" t="n">
        <v>-1.509999999999998</v>
      </c>
      <c r="E161" s="3" t="n">
        <v>10.45690460300001</v>
      </c>
      <c r="F161" s="3" t="n">
        <v>351.391851067</v>
      </c>
      <c r="G161" t="inlineStr"/>
      <c r="H161" s="3" t="n">
        <v>90.67</v>
      </c>
      <c r="I161" s="3" t="n">
        <v>90.024</v>
      </c>
      <c r="J161" s="3" t="n">
        <v>3.096372316820013</v>
      </c>
      <c r="K161" t="inlineStr">
        <is>
          <t>IMF IL (api.imf.org, IMF.STA:IL 13.0.1) TRGNV_REVS / RXF11_REVS, USD</t>
        </is>
      </c>
    </row>
    <row r="162">
      <c r="A162" t="inlineStr">
        <is>
          <t>2023-05</t>
        </is>
      </c>
      <c r="B162" s="3" t="n">
        <v>29.05</v>
      </c>
      <c r="C162" s="3" t="n">
        <v>26.81</v>
      </c>
      <c r="D162" s="3" t="n">
        <v>2.240000000000002</v>
      </c>
      <c r="E162" s="3" t="n">
        <v>14.39498554400001</v>
      </c>
      <c r="F162" s="3" t="n">
        <v>345.585871326</v>
      </c>
      <c r="G162" t="inlineStr"/>
      <c r="H162" s="3" t="n">
        <v>90.179</v>
      </c>
      <c r="I162" s="3" t="n">
        <v>89.542</v>
      </c>
      <c r="J162" s="3" t="n">
        <v>3.131343292038644</v>
      </c>
      <c r="K162" t="inlineStr">
        <is>
          <t>IMF IL (api.imf.org, IMF.STA:IL 13.0.1) TRGNV_REVS / RXF11_REVS, USD</t>
        </is>
      </c>
    </row>
    <row r="163">
      <c r="A163" t="inlineStr">
        <is>
          <t>2023-06</t>
        </is>
      </c>
      <c r="B163" s="3" t="n">
        <v>29.3</v>
      </c>
      <c r="C163" s="3" t="n">
        <v>26.71</v>
      </c>
      <c r="D163" s="3" t="n">
        <v>2.59</v>
      </c>
      <c r="E163" s="3" t="n">
        <v>16.37436880100001</v>
      </c>
      <c r="F163" s="3" t="n">
        <v>340.063121209</v>
      </c>
      <c r="G163" t="inlineStr"/>
      <c r="H163" s="3" t="n">
        <v>91.729</v>
      </c>
      <c r="I163" s="3" t="n">
        <v>91.108</v>
      </c>
      <c r="J163" s="3" t="n">
        <v>3.23689318643726</v>
      </c>
      <c r="K163" t="inlineStr">
        <is>
          <t>IMF IL (api.imf.org, IMF.STA:IL 13.0.1) TRGNV_REVS / RXF11_REVS, USD</t>
        </is>
      </c>
    </row>
    <row r="164">
      <c r="A164" t="inlineStr">
        <is>
          <t>2023-07</t>
        </is>
      </c>
      <c r="B164" s="3" t="n">
        <v>29.68</v>
      </c>
      <c r="C164" s="3" t="n">
        <v>27.53</v>
      </c>
      <c r="D164" s="3" t="n">
        <v>2.149999999999999</v>
      </c>
      <c r="E164" s="3" t="n">
        <v>18.45000000000001</v>
      </c>
      <c r="F164" s="3" t="n">
        <v>337.06</v>
      </c>
      <c r="G164" t="inlineStr"/>
      <c r="H164" s="3" t="n">
        <v>89.748</v>
      </c>
      <c r="I164" s="3" t="n">
        <v>89.111</v>
      </c>
      <c r="J164" s="3" t="n">
        <v>3.195205601376609</v>
      </c>
      <c r="K164" t="inlineStr">
        <is>
          <t>IMF IL (api.imf.org, IMF.STA:IL 13.0.1) TRGNV_REVS / RXF11_REVS, USD</t>
        </is>
      </c>
    </row>
    <row r="165">
      <c r="A165" t="inlineStr">
        <is>
          <t>2023-08</t>
        </is>
      </c>
      <c r="B165" s="3" t="n">
        <v>32.37</v>
      </c>
      <c r="C165" s="3" t="n">
        <v>28.55</v>
      </c>
      <c r="D165" s="3" t="n">
        <v>3.819999999999997</v>
      </c>
      <c r="E165" s="3" t="n">
        <v>19.85</v>
      </c>
      <c r="F165" s="3" t="n">
        <v>334.65</v>
      </c>
      <c r="G165" t="inlineStr"/>
      <c r="H165" s="3" t="n">
        <v>90.18600000000001</v>
      </c>
      <c r="I165" s="3" t="n">
        <v>89.553</v>
      </c>
      <c r="J165" s="3" t="n">
        <v>3.233922008068131</v>
      </c>
      <c r="K165" t="inlineStr">
        <is>
          <t>IMF IL (api.imf.org, IMF.STA:IL 13.0.1) TRGNV_REVS / RXF11_REVS, USD</t>
        </is>
      </c>
    </row>
    <row r="166">
      <c r="A166" t="inlineStr">
        <is>
          <t>2023-09</t>
        </is>
      </c>
      <c r="B166" s="3" t="n">
        <v>31.41</v>
      </c>
      <c r="C166" s="3" t="n">
        <v>29.12</v>
      </c>
      <c r="D166" s="3" t="n">
        <v>2.289999999999999</v>
      </c>
      <c r="E166" s="3" t="n">
        <v>21</v>
      </c>
      <c r="F166" s="3" t="n">
        <v>334.97</v>
      </c>
      <c r="G166" t="inlineStr"/>
      <c r="H166" s="3" t="n">
        <v>90.08199999999999</v>
      </c>
      <c r="I166" s="3" t="n">
        <v>89.47499999999999</v>
      </c>
      <c r="J166" s="3" t="n">
        <v>3.227106905095979</v>
      </c>
      <c r="K166" t="inlineStr">
        <is>
          <t>IMF IL (api.imf.org, IMF.STA:IL 13.0.1) TRGNV_REVS / RXF11_REVS, USD</t>
        </is>
      </c>
    </row>
    <row r="167">
      <c r="A167" t="inlineStr">
        <is>
          <t>2023-10</t>
        </is>
      </c>
      <c r="B167" s="3" t="n">
        <v>29.31</v>
      </c>
      <c r="C167" s="3" t="n">
        <v>29.31</v>
      </c>
      <c r="D167" s="3" t="n">
        <v>0</v>
      </c>
      <c r="E167" s="3" t="n">
        <v>18.73</v>
      </c>
      <c r="F167" s="3" t="n">
        <v>336.28</v>
      </c>
      <c r="G167" t="inlineStr"/>
      <c r="H167" s="3" t="n">
        <v>89.694</v>
      </c>
      <c r="I167" s="3" t="n">
        <v>89.045</v>
      </c>
      <c r="J167" s="3" t="n">
        <v>3.200689901272749</v>
      </c>
      <c r="K167" t="inlineStr">
        <is>
          <t>IMF IL (api.imf.org, IMF.STA:IL 13.0.1) TRGNV_REVS / RXF11_REVS, USD</t>
        </is>
      </c>
    </row>
    <row r="168">
      <c r="A168" t="inlineStr">
        <is>
          <t>2023-11</t>
        </is>
      </c>
      <c r="B168" s="3" t="n">
        <v>31.08</v>
      </c>
      <c r="C168" s="3" t="n">
        <v>29.8</v>
      </c>
      <c r="D168" s="3" t="n">
        <v>1.279999999999998</v>
      </c>
      <c r="E168" s="3" t="n">
        <v>19.23</v>
      </c>
      <c r="F168" s="3" t="n">
        <v>337.68</v>
      </c>
      <c r="G168" t="inlineStr"/>
      <c r="H168" s="3" t="n">
        <v>90.623</v>
      </c>
      <c r="I168" s="3" t="n">
        <v>89.95699999999999</v>
      </c>
      <c r="J168" s="3" t="n">
        <v>3.220433546552949</v>
      </c>
      <c r="K168" t="inlineStr">
        <is>
          <t>IMF IL (api.imf.org, IMF.STA:IL 13.0.1) TRGNV_REVS / RXF11_REVS, USD</t>
        </is>
      </c>
    </row>
    <row r="169">
      <c r="A169" t="inlineStr">
        <is>
          <t>2023-12</t>
        </is>
      </c>
      <c r="B169" s="3" t="n">
        <v>32.91</v>
      </c>
      <c r="C169" s="3" t="n">
        <v>30.63</v>
      </c>
      <c r="D169" s="3" t="n">
        <v>2.279999999999998</v>
      </c>
      <c r="E169" s="3" t="n">
        <v>21.00999999999999</v>
      </c>
      <c r="F169" s="3" t="n">
        <v>339.15</v>
      </c>
      <c r="G169" s="3" t="n">
        <v>3.02</v>
      </c>
      <c r="H169" s="3" t="n">
        <v>92.90900000000001</v>
      </c>
      <c r="I169" s="3" t="n">
        <v>92.238</v>
      </c>
      <c r="J169" s="3" t="n">
        <v>3.287359575409111</v>
      </c>
      <c r="K169" t="inlineStr">
        <is>
          <t>IMF IL (api.imf.org, IMF.STA:IL 13.0.1) TRGNV_REVS / RXF11_REVS, USD</t>
        </is>
      </c>
    </row>
    <row r="170">
      <c r="A170" t="inlineStr">
        <is>
          <t>2024-01</t>
        </is>
      </c>
      <c r="B170" s="3" t="n">
        <v>33.57</v>
      </c>
      <c r="C170" s="3" t="n">
        <v>30.65</v>
      </c>
      <c r="D170" s="3" t="n">
        <v>2.920000000000002</v>
      </c>
      <c r="E170" s="3" t="n">
        <v>21.00999999999999</v>
      </c>
      <c r="F170" s="3" t="n">
        <v>339.15</v>
      </c>
      <c r="G170" t="inlineStr"/>
      <c r="H170" s="3" t="n">
        <v>90.64700000000001</v>
      </c>
      <c r="I170" s="3" t="n">
        <v>89.98399999999999</v>
      </c>
      <c r="J170" s="3" t="n">
        <v>3.207324192835029</v>
      </c>
      <c r="K170" t="inlineStr">
        <is>
          <t>IMF IL (api.imf.org, IMF.STA:IL 13.0.1) TRGNV_REVS / RXF11_REVS, USD</t>
        </is>
      </c>
    </row>
    <row r="171">
      <c r="A171" t="inlineStr">
        <is>
          <t>2024-02</t>
        </is>
      </c>
      <c r="B171" s="3" t="n">
        <v>24.82</v>
      </c>
      <c r="C171" s="3" t="n">
        <v>23.72</v>
      </c>
      <c r="D171" s="3" t="n">
        <v>1.100000000000001</v>
      </c>
      <c r="E171" s="3" t="n">
        <v>19.81</v>
      </c>
      <c r="F171" s="3" t="n">
        <v>339.29</v>
      </c>
      <c r="G171" t="inlineStr"/>
      <c r="H171" s="3" t="n">
        <v>90.86199999999999</v>
      </c>
      <c r="I171" s="3" t="n">
        <v>90.2</v>
      </c>
      <c r="J171" s="3" t="n">
        <v>3.213604880780453</v>
      </c>
      <c r="K171" t="inlineStr">
        <is>
          <t>IMF IL (api.imf.org, IMF.STA:IL 13.0.1) TRGNV_REVS / RXF11_REVS, USD</t>
        </is>
      </c>
    </row>
    <row r="172">
      <c r="A172" t="inlineStr">
        <is>
          <t>2024-03</t>
        </is>
      </c>
      <c r="B172" s="3" t="n">
        <v>34.01</v>
      </c>
      <c r="C172" s="3" t="n">
        <v>31.08</v>
      </c>
      <c r="D172" s="3" t="n">
        <v>2.93</v>
      </c>
      <c r="E172" s="3" t="n">
        <v>22.09</v>
      </c>
      <c r="F172" s="3" t="n">
        <v>341.45</v>
      </c>
      <c r="G172" t="inlineStr"/>
      <c r="H172" s="3" t="n">
        <v>91.682</v>
      </c>
      <c r="I172" s="3" t="n">
        <v>90.956</v>
      </c>
      <c r="J172" s="3" t="n">
        <v>3.22209401083614</v>
      </c>
      <c r="K172" t="inlineStr">
        <is>
          <t>IMF IL (api.imf.org, IMF.STA:IL 13.0.1) TRGNV_REVS / RXF11_REVS, USD</t>
        </is>
      </c>
    </row>
    <row r="173">
      <c r="A173" t="inlineStr">
        <is>
          <t>2024-04</t>
        </is>
      </c>
      <c r="B173" s="3" t="n">
        <v>30.94</v>
      </c>
      <c r="C173" s="3" t="n">
        <v>30.26</v>
      </c>
      <c r="D173" s="3" t="n">
        <v>0.6799999999999997</v>
      </c>
      <c r="E173" s="3" t="n">
        <v>24.27999999999999</v>
      </c>
      <c r="F173" s="3" t="n">
        <v>344.17</v>
      </c>
      <c r="G173" t="inlineStr"/>
      <c r="H173" s="3" t="n">
        <v>90.85299999999999</v>
      </c>
      <c r="I173" s="3" t="n">
        <v>90.096</v>
      </c>
      <c r="J173" s="3" t="n">
        <v>3.16772525205567</v>
      </c>
      <c r="K173" t="inlineStr">
        <is>
          <t>IMF IL (api.imf.org, IMF.STA:IL 13.0.1) TRGNV_REVS / RXF11_REVS, USD</t>
        </is>
      </c>
    </row>
    <row r="174">
      <c r="A174" t="inlineStr">
        <is>
          <t>2024-05</t>
        </is>
      </c>
      <c r="B174" s="3" t="n">
        <v>32.81</v>
      </c>
      <c r="C174" s="3" t="n">
        <v>33.81</v>
      </c>
      <c r="D174" s="3" t="n">
        <v>-1</v>
      </c>
      <c r="E174" s="3" t="n">
        <v>21.03999999999999</v>
      </c>
      <c r="F174" s="3" t="n">
        <v>351.17</v>
      </c>
      <c r="G174" t="inlineStr"/>
      <c r="H174" s="3" t="n">
        <v>86.76600000000001</v>
      </c>
      <c r="I174" s="3" t="n">
        <v>86.002</v>
      </c>
      <c r="J174" s="3" t="n">
        <v>2.96492297178005</v>
      </c>
      <c r="K174" t="inlineStr">
        <is>
          <t>IMF IL (api.imf.org, IMF.STA:IL 13.0.1) TRGNV_REVS / RXF11_REVS, USD</t>
        </is>
      </c>
    </row>
    <row r="175">
      <c r="A175" t="inlineStr">
        <is>
          <t>2024-06</t>
        </is>
      </c>
      <c r="B175" s="3" t="n">
        <v>33.09</v>
      </c>
      <c r="C175" s="3" t="n">
        <v>30.15</v>
      </c>
      <c r="D175" s="3" t="n">
        <v>2.940000000000005</v>
      </c>
      <c r="E175" s="3" t="n">
        <v>21.39</v>
      </c>
      <c r="F175" s="3" t="n">
        <v>354.61</v>
      </c>
      <c r="G175" t="inlineStr"/>
      <c r="H175" s="3" t="n">
        <v>85.456</v>
      </c>
      <c r="I175" s="3" t="n">
        <v>84.723</v>
      </c>
      <c r="J175" s="3" t="n">
        <v>2.891830461633908</v>
      </c>
      <c r="K175" t="inlineStr">
        <is>
          <t>IMF IL (api.imf.org, IMF.STA:IL 13.0.1) TRGNV_REVS / RXF11_REVS, USD</t>
        </is>
      </c>
    </row>
    <row r="176">
      <c r="A176" t="inlineStr">
        <is>
          <t>2024-07</t>
        </is>
      </c>
      <c r="B176" s="3" t="n">
        <v>35.92</v>
      </c>
      <c r="C176" s="3" t="n">
        <v>33.8</v>
      </c>
      <c r="D176" s="3" t="n">
        <v>2.120000000000005</v>
      </c>
      <c r="E176" s="3" t="n">
        <v>21.36</v>
      </c>
      <c r="F176" s="3" t="n">
        <v>360.88</v>
      </c>
      <c r="G176" t="inlineStr"/>
      <c r="H176" s="3" t="n">
        <v>83.84999999999999</v>
      </c>
      <c r="I176" s="3" t="n">
        <v>83.084</v>
      </c>
      <c r="J176" s="3" t="n">
        <v>2.788184438040346</v>
      </c>
      <c r="K176" t="inlineStr">
        <is>
          <t>IMF IL (api.imf.org, IMF.STA:IL 13.0.1) TRGNV_REVS / RXF11_REVS, USD</t>
        </is>
      </c>
    </row>
    <row r="177">
      <c r="A177" t="inlineStr">
        <is>
          <t>2024-08</t>
        </is>
      </c>
      <c r="B177" s="3" t="n">
        <v>37.58967048</v>
      </c>
      <c r="C177" s="3" t="n">
        <v>33.059429595</v>
      </c>
      <c r="D177" s="3" t="n">
        <v>4.530240884999998</v>
      </c>
      <c r="E177" s="3" t="n">
        <v>22.070240885</v>
      </c>
      <c r="F177" s="3" t="n">
        <v>365.389429595</v>
      </c>
      <c r="G177" t="inlineStr"/>
      <c r="H177" s="3" t="n">
        <v>84.741</v>
      </c>
      <c r="I177" s="3" t="n">
        <v>83.92100000000001</v>
      </c>
      <c r="J177" s="3" t="n">
        <v>2.783036173561807</v>
      </c>
      <c r="K177" t="inlineStr">
        <is>
          <t>IMF IL (api.imf.org, IMF.STA:IL 13.0.1) TRGNV_REVS / RXF11_REVS, USD</t>
        </is>
      </c>
    </row>
    <row r="178">
      <c r="A178" t="inlineStr">
        <is>
          <t>2024-09</t>
        </is>
      </c>
      <c r="B178" s="3" t="n">
        <v>34.04962671</v>
      </c>
      <c r="C178" s="3" t="n">
        <v>31.758453093</v>
      </c>
      <c r="D178" s="3" t="n">
        <v>2.291173616999998</v>
      </c>
      <c r="E178" s="3" t="n">
        <v>22.071414502</v>
      </c>
      <c r="F178" s="3" t="n">
        <v>368.027882688</v>
      </c>
      <c r="G178" t="inlineStr"/>
      <c r="H178" s="3" t="n">
        <v>85.15300000000001</v>
      </c>
      <c r="I178" s="3" t="n">
        <v>84.286</v>
      </c>
      <c r="J178" s="3" t="n">
        <v>2.776517889179265</v>
      </c>
      <c r="K178" t="inlineStr">
        <is>
          <t>IMF IL (api.imf.org, IMF.STA:IL 13.0.1) TRGNV_REVS / RXF11_REVS, USD</t>
        </is>
      </c>
    </row>
    <row r="179">
      <c r="A179" t="inlineStr">
        <is>
          <t>2024-10</t>
        </is>
      </c>
      <c r="B179" s="3" t="n">
        <v>35.58741715</v>
      </c>
      <c r="C179" s="3" t="n">
        <v>33.600609501</v>
      </c>
      <c r="D179" s="3" t="n">
        <v>1.986807648999999</v>
      </c>
      <c r="E179" s="3" t="n">
        <v>24.058222151</v>
      </c>
      <c r="F179" s="3" t="n">
        <v>372.318492189</v>
      </c>
      <c r="G179" t="inlineStr"/>
      <c r="H179" s="3" t="n">
        <v>85.283</v>
      </c>
      <c r="I179" s="3" t="n">
        <v>84.376</v>
      </c>
      <c r="J179" s="3" t="n">
        <v>2.748711174626517</v>
      </c>
      <c r="K179" t="inlineStr">
        <is>
          <t>IMF IL (api.imf.org, IMF.STA:IL 13.0.1) TRGNV_REVS / RXF11_REVS, USD</t>
        </is>
      </c>
    </row>
    <row r="180">
      <c r="A180" t="inlineStr">
        <is>
          <t>2024-11</t>
        </is>
      </c>
      <c r="B180" s="3" t="n">
        <v>33.73377301</v>
      </c>
      <c r="C180" s="3" t="n">
        <v>32.667</v>
      </c>
      <c r="D180" s="3" t="n">
        <v>1.066773009999999</v>
      </c>
      <c r="E180" s="3" t="n">
        <v>23.844995161</v>
      </c>
      <c r="F180" s="3" t="n">
        <v>375.185492189</v>
      </c>
      <c r="G180" t="inlineStr"/>
      <c r="H180" s="3" t="n">
        <v>84.779</v>
      </c>
      <c r="I180" s="3" t="n">
        <v>83.92100000000001</v>
      </c>
      <c r="J180" s="3" t="n">
        <v>2.711586724913953</v>
      </c>
      <c r="K180" t="inlineStr">
        <is>
          <t>IMF IL (api.imf.org, IMF.STA:IL 13.0.1) TRGNV_REVS / RXF11_REVS, USD</t>
        </is>
      </c>
    </row>
    <row r="181">
      <c r="A181" t="inlineStr">
        <is>
          <t>2024-12</t>
        </is>
      </c>
      <c r="B181" s="3" t="n">
        <v>35.52898918</v>
      </c>
      <c r="C181" s="3" t="n">
        <v>35.005006915</v>
      </c>
      <c r="D181" s="3" t="n">
        <v>0.5239822650000008</v>
      </c>
      <c r="E181" s="3" t="n">
        <v>22.08897742600001</v>
      </c>
      <c r="F181" s="3" t="n">
        <v>379.560499104</v>
      </c>
      <c r="G181" s="3" t="n">
        <v>2.37</v>
      </c>
      <c r="H181" s="3" t="n">
        <v>83.931</v>
      </c>
      <c r="I181" s="3" t="n">
        <v>83.08199999999999</v>
      </c>
      <c r="J181" s="3" t="n">
        <v>2.653521645106789</v>
      </c>
      <c r="K181" t="inlineStr">
        <is>
          <t>IMF IL (api.imf.org, IMF.STA:IL 13.0.1) TRGNV_REVS / RXF11_REVS, USD</t>
        </is>
      </c>
    </row>
    <row r="182">
      <c r="A182" t="inlineStr">
        <is>
          <t>2025-01</t>
        </is>
      </c>
      <c r="B182" s="3" t="n">
        <v>33.0852918</v>
      </c>
      <c r="C182" s="3" t="n">
        <v>30.060507368</v>
      </c>
      <c r="D182" s="3" t="n">
        <v>3.024784432000001</v>
      </c>
      <c r="E182" s="3" t="n">
        <v>22.19376185800001</v>
      </c>
      <c r="F182" s="3" t="n">
        <v>378.971006472</v>
      </c>
      <c r="G182" t="inlineStr"/>
      <c r="H182" s="3" t="n">
        <v>81.752</v>
      </c>
      <c r="I182" s="3" t="n">
        <v>80.85299999999999</v>
      </c>
      <c r="J182" s="3" t="n">
        <v>2.588651857915896</v>
      </c>
      <c r="K182" t="inlineStr">
        <is>
          <t>IMF IL (api.imf.org, IMF.STA:IL 13.0.1) TRGNV_REVS / RXF11_REVS, USD</t>
        </is>
      </c>
    </row>
    <row r="183">
      <c r="A183" t="inlineStr">
        <is>
          <t>2025-02</t>
        </is>
      </c>
      <c r="B183" s="3" t="n">
        <v>31.10932047</v>
      </c>
      <c r="C183" s="3" t="n">
        <v>32.65928498</v>
      </c>
      <c r="D183" s="3" t="n">
        <v>-1.549964510000002</v>
      </c>
      <c r="E183" s="3" t="n">
        <v>19.543797348</v>
      </c>
      <c r="F183" s="3" t="n">
        <v>387.910291452</v>
      </c>
      <c r="G183" t="inlineStr"/>
      <c r="H183" s="3" t="n">
        <v>82.283</v>
      </c>
      <c r="I183" s="3" t="n">
        <v>81.346</v>
      </c>
      <c r="J183" s="3" t="n">
        <v>2.545423572816397</v>
      </c>
      <c r="K183" t="inlineStr">
        <is>
          <t>IMF IL (api.imf.org, IMF.STA:IL 13.0.1) TRGNV_REVS / RXF11_REVS, USD</t>
        </is>
      </c>
    </row>
    <row r="184">
      <c r="A184" t="inlineStr">
        <is>
          <t>2025-03</t>
        </is>
      </c>
      <c r="B184" s="3" t="n">
        <v>38.50983840999999</v>
      </c>
      <c r="C184" s="3" t="n">
        <v>36.875296877</v>
      </c>
      <c r="D184" s="3" t="n">
        <v>1.634541532999989</v>
      </c>
      <c r="E184" s="3" t="n">
        <v>18.24833888099999</v>
      </c>
      <c r="F184" s="3" t="n">
        <v>393.705588329</v>
      </c>
      <c r="G184" t="inlineStr"/>
      <c r="H184" s="3" t="n">
        <v>83.556</v>
      </c>
      <c r="I184" s="3" t="n">
        <v>82.553</v>
      </c>
      <c r="J184" s="3" t="n">
        <v>2.546755823953703</v>
      </c>
      <c r="K184" t="inlineStr">
        <is>
          <t>IMF IL (api.imf.org, IMF.STA:IL 13.0.1) TRGNV_REVS / RXF11_REVS, USD</t>
        </is>
      </c>
    </row>
    <row r="185">
      <c r="A185" t="inlineStr">
        <is>
          <t>2025-04</t>
        </is>
      </c>
      <c r="B185" s="3" t="n">
        <v>37.44544176</v>
      </c>
      <c r="C185" s="3" t="n">
        <v>36.86875334699999</v>
      </c>
      <c r="D185" s="3" t="n">
        <v>0.5766884130000065</v>
      </c>
      <c r="E185" s="3" t="n">
        <v>18.145027294</v>
      </c>
      <c r="F185" s="3" t="n">
        <v>400.314341676</v>
      </c>
      <c r="G185" t="inlineStr"/>
      <c r="H185" s="3" t="n">
        <v>83.122</v>
      </c>
      <c r="I185" s="3" t="n">
        <v>82.038</v>
      </c>
      <c r="J185" s="3" t="n">
        <v>2.491701885632944</v>
      </c>
      <c r="K185" t="inlineStr">
        <is>
          <t>IMF IL (api.imf.org, IMF.STA:IL 13.0.1) TRGNV_REVS / RXF11_REVS, USD</t>
        </is>
      </c>
    </row>
    <row r="186">
      <c r="A186" t="inlineStr">
        <is>
          <t>2025-05</t>
        </is>
      </c>
      <c r="B186" s="3" t="n">
        <v>39.59545242999999</v>
      </c>
      <c r="C186" s="3" t="n">
        <v>39.044875356</v>
      </c>
      <c r="D186" s="3" t="n">
        <v>0.550577073999996</v>
      </c>
      <c r="E186" s="3" t="n">
        <v>19.69560436799999</v>
      </c>
      <c r="F186" s="3" t="n">
        <v>405.549217032</v>
      </c>
      <c r="G186" t="inlineStr"/>
      <c r="H186" s="3" t="n">
        <v>82.774</v>
      </c>
      <c r="I186" s="3" t="n">
        <v>81.694</v>
      </c>
      <c r="J186" s="3" t="n">
        <v>2.449241567446114</v>
      </c>
      <c r="K186" t="inlineStr">
        <is>
          <t>IMF IL (api.imf.org, IMF.STA:IL 13.0.1) TRGNV_REVS / RXF11_REVS, USD</t>
        </is>
      </c>
    </row>
    <row r="187">
      <c r="A187" t="inlineStr">
        <is>
          <t>2025-06</t>
        </is>
      </c>
      <c r="B187" s="3" t="n">
        <v>39.48905547</v>
      </c>
      <c r="C187" s="3" t="n">
        <v>36.662641126</v>
      </c>
      <c r="D187" s="3" t="n">
        <v>2.826414343999993</v>
      </c>
      <c r="E187" s="3" t="n">
        <v>19.58201871199998</v>
      </c>
      <c r="F187" s="3" t="n">
        <v>412.061858158</v>
      </c>
      <c r="G187" t="inlineStr"/>
      <c r="H187" s="3" t="n">
        <v>84.129</v>
      </c>
      <c r="I187" s="3" t="n">
        <v>83.06699999999999</v>
      </c>
      <c r="J187" s="3" t="n">
        <v>2.449991378752899</v>
      </c>
      <c r="K187" t="inlineStr">
        <is>
          <t>IMF IL (api.imf.org, IMF.STA:IL 13.0.1) TRGNV_REVS / RXF11_REVS, USD</t>
        </is>
      </c>
    </row>
    <row r="188">
      <c r="A188" t="inlineStr">
        <is>
          <t>2025-07</t>
        </is>
      </c>
      <c r="B188" s="3" t="n">
        <v>42.26554241</v>
      </c>
      <c r="C188" s="3" t="n">
        <v>39.998519049</v>
      </c>
      <c r="D188" s="3" t="n">
        <v>2.267023361</v>
      </c>
      <c r="E188" s="3" t="n">
        <v>19.72904207299998</v>
      </c>
      <c r="F188" s="3" t="n">
        <v>418.260377207</v>
      </c>
      <c r="G188" t="inlineStr"/>
      <c r="H188" s="3" t="n">
        <v>83.29000000000001</v>
      </c>
      <c r="I188" s="3" t="n">
        <v>82.22</v>
      </c>
      <c r="J188" s="3" t="n">
        <v>2.389611960554778</v>
      </c>
      <c r="K188" t="inlineStr">
        <is>
          <t>IMF IL (api.imf.org, IMF.STA:IL 13.0.1) TRGNV_REVS / RXF11_REVS, USD</t>
        </is>
      </c>
    </row>
    <row r="189">
      <c r="A189" t="inlineStr">
        <is>
          <t>2025-08</t>
        </is>
      </c>
      <c r="B189" s="3" t="n">
        <v>43.38635026</v>
      </c>
      <c r="C189" s="3" t="n">
        <v>39.669299926</v>
      </c>
      <c r="D189" s="3" t="n">
        <v>3.717050334</v>
      </c>
      <c r="E189" s="3" t="n">
        <v>18.91585152199998</v>
      </c>
      <c r="F189" s="3" t="n">
        <v>424.870247538</v>
      </c>
      <c r="G189" t="inlineStr"/>
      <c r="H189" s="3" t="n">
        <v>83.892</v>
      </c>
      <c r="I189" s="3" t="n">
        <v>82.77</v>
      </c>
      <c r="J189" s="3" t="n">
        <v>2.369438683535875</v>
      </c>
      <c r="K189" t="inlineStr">
        <is>
          <t>IMF IL (api.imf.org, IMF.STA:IL 13.0.1) TRGNV_REVS / RXF11_REVS, USD</t>
        </is>
      </c>
    </row>
    <row r="190">
      <c r="A190" t="inlineStr">
        <is>
          <t>2025-09</t>
        </is>
      </c>
      <c r="B190" s="3" t="n">
        <v>42.67031094</v>
      </c>
      <c r="C190" s="3" t="n">
        <v>42.670310936</v>
      </c>
      <c r="D190" s="3" t="n">
        <v>4.000000330961484e-09</v>
      </c>
      <c r="E190" s="3" t="n">
        <v>16.62467790899998</v>
      </c>
      <c r="F190" s="3" t="n">
        <v>435.782105381</v>
      </c>
      <c r="G190" t="inlineStr"/>
      <c r="H190" s="3" t="n">
        <v>85.422</v>
      </c>
      <c r="I190" s="3" t="n">
        <v>84.173</v>
      </c>
      <c r="J190" s="3" t="n">
        <v>2.352239771533979</v>
      </c>
      <c r="K190" t="inlineStr">
        <is>
          <t>IMF IL (api.imf.org, IMF.STA:IL 13.0.1) TRGNV_REVS / RXF11_REVS, USD</t>
        </is>
      </c>
    </row>
    <row r="191">
      <c r="A191" t="inlineStr">
        <is>
          <t>2025-10</t>
        </is>
      </c>
      <c r="B191" s="3" t="n">
        <v>42.04921182</v>
      </c>
      <c r="C191" s="3" t="n">
        <v>39.44520496200001</v>
      </c>
      <c r="D191" s="3" t="n">
        <v>2.604006857999991</v>
      </c>
      <c r="E191" s="3" t="n">
        <v>17.24187711799997</v>
      </c>
      <c r="F191" s="3" t="n">
        <v>441.626700842</v>
      </c>
      <c r="G191" t="inlineStr"/>
      <c r="H191" s="3" t="n">
        <v>83.524</v>
      </c>
      <c r="I191" s="3" t="n">
        <v>82.20999999999999</v>
      </c>
      <c r="J191" s="3" t="n">
        <v>2.269536688087586</v>
      </c>
      <c r="K191" t="inlineStr">
        <is>
          <t>IMF IL (api.imf.org, IMF.STA:IL 13.0.1) TRGNV_REVS / RXF11_REVS, USD</t>
        </is>
      </c>
    </row>
    <row r="192">
      <c r="A192" t="inlineStr">
        <is>
          <t>2025-11</t>
        </is>
      </c>
      <c r="B192" s="3" t="n">
        <v>39.11176732</v>
      </c>
      <c r="C192" s="3" t="n">
        <v>37.983000308</v>
      </c>
      <c r="D192" s="3" t="n">
        <v>1.128767011999997</v>
      </c>
      <c r="E192" s="3" t="n">
        <v>17.30387111999997</v>
      </c>
      <c r="F192" s="3" t="n">
        <v>446.94270115</v>
      </c>
      <c r="G192" t="inlineStr"/>
      <c r="H192" s="3" t="n">
        <v>84.70399999999999</v>
      </c>
      <c r="I192" s="3" t="n">
        <v>83.34099999999999</v>
      </c>
      <c r="J192" s="3" t="n">
        <v>2.2742244081504</v>
      </c>
      <c r="K192" t="inlineStr">
        <is>
          <t>IMF IL (api.imf.org, IMF.STA:IL 13.0.1) TRGNV_REVS / RXF11_REVS, USD</t>
        </is>
      </c>
    </row>
    <row r="193">
      <c r="A193" t="inlineStr">
        <is>
          <t>2025-12</t>
        </is>
      </c>
      <c r="B193" s="3" t="n">
        <v>44.05003726</v>
      </c>
      <c r="C193" s="3" t="n">
        <v>44.686566349</v>
      </c>
      <c r="D193" s="3" t="n">
        <v>-0.6365290890000068</v>
      </c>
      <c r="E193" s="3" t="n">
        <v>16.14335976599996</v>
      </c>
      <c r="F193" s="3" t="n">
        <v>456.624260584</v>
      </c>
      <c r="G193" t="inlineStr"/>
      <c r="H193" s="3" t="n">
        <v>86.94499999999999</v>
      </c>
      <c r="I193" s="3" t="n">
        <v>85.58</v>
      </c>
      <c r="J193" s="3" t="n">
        <v>2.284898307123715</v>
      </c>
      <c r="K193" t="inlineStr">
        <is>
          <t>IMF IL (api.imf.org, IMF.STA:IL 13.0.1) TRGNV_REVS / RXF11_REVS, USD</t>
        </is>
      </c>
    </row>
    <row r="194">
      <c r="A194" t="inlineStr">
        <is>
          <t>2026-01</t>
        </is>
      </c>
      <c r="B194" s="3" t="n">
        <v>43.1896374</v>
      </c>
      <c r="C194" s="3" t="n">
        <v>44.974075623</v>
      </c>
      <c r="D194" s="3" t="n">
        <v>-1.784438222999995</v>
      </c>
      <c r="E194" s="3" t="n">
        <v>11.33413711099997</v>
      </c>
      <c r="F194" s="3" t="n">
        <v>471.537828839</v>
      </c>
      <c r="G194" t="inlineStr"/>
      <c r="H194" s="3" t="n">
        <v>86.29600000000001</v>
      </c>
      <c r="I194" s="3" t="n">
        <v>84.545</v>
      </c>
      <c r="J194" s="3" t="n">
        <v>2.196116486665961</v>
      </c>
      <c r="K194" t="inlineStr">
        <is>
          <t>IMF IL (api.imf.org, IMF.STA:IL 13.0.1) TRGNV_REVS / RXF11_REVS, USD</t>
        </is>
      </c>
    </row>
    <row r="195">
      <c r="A195" t="inlineStr">
        <is>
          <t>2026-02</t>
        </is>
      </c>
      <c r="B195" s="3" t="n">
        <v>33.09003403000001</v>
      </c>
      <c r="C195" s="3" t="n">
        <v>34.102372899</v>
      </c>
      <c r="D195" s="3" t="n">
        <v>-1.012338868999997</v>
      </c>
      <c r="E195" s="3" t="n">
        <v>11.87176275199997</v>
      </c>
      <c r="F195" s="3" t="n">
        <v>472.980916758</v>
      </c>
      <c r="G195" t="inlineStr"/>
      <c r="H195" s="3" t="n">
        <v>88.072</v>
      </c>
      <c r="I195" s="3" t="n">
        <v>86.387</v>
      </c>
      <c r="J195" s="3" t="n">
        <v>2.234474928172933</v>
      </c>
      <c r="K195" t="inlineStr">
        <is>
          <t>IMF IL (api.imf.org, IMF.STA:IL 13.0.1) TRGNV_REVS / RXF11_REVS, USD</t>
        </is>
      </c>
    </row>
    <row r="196">
      <c r="A196" t="inlineStr">
        <is>
          <t>2026-03</t>
        </is>
      </c>
      <c r="B196" s="3" t="n">
        <v>46.43572445</v>
      </c>
      <c r="C196" s="3" t="n">
        <v>47.112553601</v>
      </c>
      <c r="D196" s="3" t="n">
        <v>-0.6768291509999997</v>
      </c>
      <c r="E196" s="3" t="n">
        <v>9.560392067999985</v>
      </c>
      <c r="F196" s="3" t="n">
        <v>483.218173482</v>
      </c>
      <c r="G196" t="inlineStr"/>
      <c r="H196" s="3" t="n">
        <v>86.845</v>
      </c>
      <c r="I196" s="3" t="n">
        <v>85.366</v>
      </c>
      <c r="J196" s="3" t="n">
        <v>2.156665575076555</v>
      </c>
      <c r="K196" t="inlineStr">
        <is>
          <t>IMF IL (api.imf.org, IMF.STA:IL 13.0.1) TRGNV_REVS / RXF11_REVS, USD</t>
        </is>
      </c>
    </row>
    <row r="197">
      <c r="A197" t="inlineStr">
        <is>
          <t>2026-04</t>
        </is>
      </c>
      <c r="B197" s="3" t="n">
        <v>45.98623453</v>
      </c>
      <c r="C197" s="3" t="n">
        <v>49.979629138</v>
      </c>
      <c r="D197" s="3" t="n">
        <v>-3.993394607999996</v>
      </c>
      <c r="E197" s="3" t="n">
        <v>4.990309046999982</v>
      </c>
      <c r="F197" s="3" t="n">
        <v>496.329049273</v>
      </c>
      <c r="G197" t="inlineStr"/>
      <c r="H197" s="3" t="n">
        <v>86.008</v>
      </c>
      <c r="I197" s="3" t="n">
        <v>84.517</v>
      </c>
      <c r="J197" s="3" t="n">
        <v>2.07945918440955</v>
      </c>
      <c r="K197" t="inlineStr">
        <is>
          <t>IMF IL (api.imf.org, IMF.STA:IL 13.0.1) TRGNV_REVS / RXF11_REVS, USD</t>
        </is>
      </c>
    </row>
    <row r="198">
      <c r="A198" t="inlineStr">
        <is>
          <t>2026-05</t>
        </is>
      </c>
      <c r="B198" s="3" t="n">
        <v>46.92934597</v>
      </c>
      <c r="C198" s="3" t="n">
        <v>52.141009446</v>
      </c>
      <c r="D198" s="3" t="n">
        <v>-5.211663475999998</v>
      </c>
      <c r="E198" s="3" t="n">
        <v>-0.7719315030000118</v>
      </c>
      <c r="F198" s="3" t="n">
        <v>509.425183363</v>
      </c>
      <c r="G198" t="inlineStr"/>
      <c r="H198" s="3" t="n">
        <v>86.517</v>
      </c>
      <c r="I198" s="3" t="n">
        <v>85.05200000000001</v>
      </c>
      <c r="J198" s="3" t="n">
        <v>2.037991120003601</v>
      </c>
      <c r="K198" t="inlineStr">
        <is>
          <t>IMF IL (api.imf.org, IMF.STA:IL 13.0.1) TRGNV_REVS / RXF11_REVS, USD</t>
        </is>
      </c>
    </row>
    <row r="199">
      <c r="A199" t="inlineStr">
        <is>
          <t>2026-06</t>
        </is>
      </c>
      <c r="B199" s="3" t="n">
        <v>50.78724688</v>
      </c>
      <c r="C199" s="3" t="n">
        <v>53.431722166</v>
      </c>
      <c r="D199" s="3" t="n">
        <v>-2.644475286000002</v>
      </c>
      <c r="E199" s="3" t="n">
        <v>-6.242821133000007</v>
      </c>
      <c r="F199" s="3" t="n">
        <v>526.194264403</v>
      </c>
      <c r="G199" t="inlineStr"/>
      <c r="H199" s="3" t="n">
        <v>89.54900000000001</v>
      </c>
      <c r="I199" s="3" t="n">
        <v>88.261</v>
      </c>
      <c r="J199" s="3" t="n">
        <v>2.042188736548063</v>
      </c>
      <c r="K199" t="inlineStr">
        <is>
          <t>IMF IL (api.imf.org, IMF.STA:IL 13.0.1) TRGNV_REVS / RXF11_REVS, USD</t>
        </is>
      </c>
    </row>
    <row r="200">
      <c r="A200" t="inlineStr">
        <is>
          <t>2026-07</t>
        </is>
      </c>
      <c r="B200" s="3" t="n">
        <v>53.08132933</v>
      </c>
      <c r="C200" s="3" t="n">
        <v>56.668257918</v>
      </c>
      <c r="D200" s="3" t="n">
        <v>-3.586928587999999</v>
      </c>
      <c r="E200" s="3" t="n">
        <v>-12.09677308200001</v>
      </c>
      <c r="F200" s="3" t="n">
        <v>542.864003272</v>
      </c>
      <c r="G200" t="inlineStr"/>
      <c r="H200" s="3" t="n">
        <v>86.101</v>
      </c>
      <c r="I200" s="3" t="n">
        <v>84.767</v>
      </c>
      <c r="J200" s="3" t="n">
        <v>1.903261210492</v>
      </c>
      <c r="K200" t="inlineStr">
        <is>
          <t>IMF IL (api.imf.org, IMF.STA:IL 13.0.1) TRGNV_REVS / RXF11_REVS, 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4" customWidth="1" min="6" max="6"/>
    <col width="12" customWidth="1" min="7" max="7"/>
    <col width="28" customWidth="1" min="8" max="8"/>
    <col width="12" customWidth="1" min="9" max="9"/>
    <col width="27" customWidth="1" min="10" max="10"/>
    <col width="13" customWidth="1" min="11" max="11"/>
    <col width="30" customWidth="1" min="12" max="12"/>
    <col width="12" customWidth="1" min="13" max="13"/>
    <col width="13" customWidth="1" min="14" max="14"/>
    <col width="30" customWidth="1" min="15" max="15"/>
    <col width="12" customWidth="1" min="16" max="16"/>
    <col width="27" customWidth="1" min="17" max="17"/>
    <col width="30" customWidth="1" min="18" max="18"/>
    <col width="29" customWidth="1" min="19" max="19"/>
    <col width="31" customWidth="1" min="20" max="20"/>
    <col width="29" customWidth="1" min="21" max="21"/>
    <col width="45" customWidth="1" min="22" max="22"/>
  </cols>
  <sheetData>
    <row r="1">
      <c r="A1" s="1" t="inlineStr">
        <is>
          <t>time</t>
        </is>
      </c>
      <c r="B1" s="1" t="inlineStr">
        <is>
          <t>Vietnam</t>
        </is>
      </c>
      <c r="C1" s="1" t="inlineStr">
        <is>
          <t>Vietnam - nguồn quốc gia</t>
        </is>
      </c>
      <c r="D1" s="1" t="inlineStr">
        <is>
          <t>China</t>
        </is>
      </c>
      <c r="E1" s="1" t="inlineStr">
        <is>
          <t>India</t>
        </is>
      </c>
      <c r="F1" s="1" t="inlineStr">
        <is>
          <t>India - nguồn quốc gia</t>
        </is>
      </c>
      <c r="G1" s="1" t="inlineStr">
        <is>
          <t>Indonesia</t>
        </is>
      </c>
      <c r="H1" s="1" t="inlineStr">
        <is>
          <t>Indonesia - nguồn quốc gia</t>
        </is>
      </c>
      <c r="I1" s="1" t="inlineStr">
        <is>
          <t>Malaysia</t>
        </is>
      </c>
      <c r="J1" s="1" t="inlineStr">
        <is>
          <t>Malaysia - nguồn quốc gia</t>
        </is>
      </c>
      <c r="K1" s="1" t="inlineStr">
        <is>
          <t>Philippines</t>
        </is>
      </c>
      <c r="L1" s="1" t="inlineStr">
        <is>
          <t>Philippines - nguồn quốc gia</t>
        </is>
      </c>
      <c r="M1" s="1" t="inlineStr">
        <is>
          <t>Singapore</t>
        </is>
      </c>
      <c r="N1" s="1" t="inlineStr">
        <is>
          <t>South_Korea</t>
        </is>
      </c>
      <c r="O1" s="1" t="inlineStr">
        <is>
          <t>South_Korea - nguồn quốc gia</t>
        </is>
      </c>
      <c r="P1" s="1" t="inlineStr">
        <is>
          <t>Thailand</t>
        </is>
      </c>
      <c r="Q1" s="1" t="inlineStr">
        <is>
          <t>Thailand - nguồn quốc gia</t>
        </is>
      </c>
      <c r="R1" s="1" t="inlineStr">
        <is>
          <t>VN - Dư nợ tín dụng (tỷ VND)</t>
        </is>
      </c>
      <c r="S1" s="1" t="inlineStr">
        <is>
          <t>VN - Tiền gửi TCKT (tỷ VND)</t>
        </is>
      </c>
      <c r="T1" s="1" t="inlineStr">
        <is>
          <t>VN - Tiền gửi dân cư (tỷ VND)</t>
        </is>
      </c>
      <c r="U1" s="1" t="inlineStr">
        <is>
          <t>VN - Tổng huy động (tỷ VND)</t>
        </is>
      </c>
      <c r="V1" t="inlineStr">
        <is>
          <t>VN - LDR tự tính = dư nợ / tổng huy động (%)</t>
        </is>
      </c>
    </row>
    <row r="2">
      <c r="A2" t="inlineStr">
        <is>
          <t>2010-Q1</t>
        </is>
      </c>
      <c r="B2" t="inlineStr"/>
      <c r="C2" t="inlineStr"/>
      <c r="D2" s="3" t="n">
        <v>69.5</v>
      </c>
      <c r="E2" s="3" t="n">
        <v>79</v>
      </c>
      <c r="F2" t="inlineStr"/>
      <c r="G2" t="inlineStr"/>
      <c r="H2" t="inlineStr"/>
      <c r="I2" s="3" t="n">
        <v>78.59999999999999</v>
      </c>
      <c r="J2" t="inlineStr"/>
      <c r="K2" s="3" t="n">
        <v>61.4</v>
      </c>
      <c r="L2" t="inlineStr"/>
      <c r="M2" s="3" t="n">
        <v>71.3</v>
      </c>
      <c r="N2" s="3" t="n">
        <v>139.3</v>
      </c>
      <c r="O2" t="inlineStr"/>
      <c r="P2" s="3" t="n">
        <v>108.2</v>
      </c>
      <c r="Q2" t="inlineStr"/>
      <c r="R2" s="2" t="n">
        <v>1998111</v>
      </c>
      <c r="S2" t="inlineStr"/>
      <c r="T2" t="inlineStr"/>
      <c r="U2" t="inlineStr"/>
      <c r="V2" s="4">
        <f>IF(AND(ISNUMBER(R2),ISNUMBER(U2)),R2/U2*100,"")</f>
        <v/>
      </c>
    </row>
    <row r="3">
      <c r="A3" t="inlineStr">
        <is>
          <t>2010-Q2</t>
        </is>
      </c>
      <c r="B3" t="inlineStr"/>
      <c r="C3" t="inlineStr"/>
      <c r="D3" s="3" t="n">
        <v>68.8</v>
      </c>
      <c r="E3" t="inlineStr"/>
      <c r="F3" t="inlineStr"/>
      <c r="G3" t="inlineStr"/>
      <c r="H3" t="inlineStr"/>
      <c r="I3" s="3" t="n">
        <v>80.8</v>
      </c>
      <c r="J3" t="inlineStr"/>
      <c r="K3" s="3" t="n">
        <v>62.7</v>
      </c>
      <c r="L3" t="inlineStr"/>
      <c r="M3" s="3" t="n">
        <v>73.3</v>
      </c>
      <c r="N3" s="3" t="n">
        <v>140.3</v>
      </c>
      <c r="O3" t="inlineStr"/>
      <c r="P3" s="3" t="n">
        <v>107.8</v>
      </c>
      <c r="Q3" t="inlineStr"/>
      <c r="R3" s="2" t="n">
        <v>2136551</v>
      </c>
      <c r="S3" t="inlineStr"/>
      <c r="T3" t="inlineStr"/>
      <c r="U3" t="inlineStr"/>
      <c r="V3" s="4">
        <f>IF(AND(ISNUMBER(R3),ISNUMBER(U3)),R3/U3*100,"")</f>
        <v/>
      </c>
    </row>
    <row r="4">
      <c r="A4" t="inlineStr">
        <is>
          <t>2010-Q3</t>
        </is>
      </c>
      <c r="B4" t="inlineStr"/>
      <c r="C4" t="inlineStr"/>
      <c r="D4" s="3" t="n">
        <v>68.59999999999999</v>
      </c>
      <c r="E4" s="3" t="n">
        <v>79.8</v>
      </c>
      <c r="F4" t="inlineStr"/>
      <c r="G4" t="inlineStr"/>
      <c r="H4" t="inlineStr"/>
      <c r="I4" s="3" t="n">
        <v>80.59999999999999</v>
      </c>
      <c r="J4" t="inlineStr"/>
      <c r="K4" s="3" t="n">
        <v>63.1</v>
      </c>
      <c r="L4" t="inlineStr"/>
      <c r="M4" s="3" t="n">
        <v>74</v>
      </c>
      <c r="N4" s="3" t="n">
        <v>138.5</v>
      </c>
      <c r="O4" t="inlineStr"/>
      <c r="P4" s="3" t="n">
        <v>109.3</v>
      </c>
      <c r="Q4" t="inlineStr"/>
      <c r="R4" s="2" t="n">
        <v>2310569</v>
      </c>
      <c r="S4" t="inlineStr"/>
      <c r="T4" t="inlineStr"/>
      <c r="U4" t="inlineStr"/>
      <c r="V4" s="4">
        <f>IF(AND(ISNUMBER(R4),ISNUMBER(U4)),R4/U4*100,"")</f>
        <v/>
      </c>
    </row>
    <row r="5">
      <c r="A5" t="inlineStr">
        <is>
          <t>2010-Q4</t>
        </is>
      </c>
      <c r="B5" s="3" t="n">
        <v>98.3</v>
      </c>
      <c r="C5" t="inlineStr"/>
      <c r="D5" s="3" t="n">
        <v>69.40000000000001</v>
      </c>
      <c r="E5" t="inlineStr"/>
      <c r="F5" t="inlineStr"/>
      <c r="G5" s="3" t="n">
        <v>81.59999999999999</v>
      </c>
      <c r="H5" t="inlineStr"/>
      <c r="I5" s="3" t="n">
        <v>80.7</v>
      </c>
      <c r="J5" t="inlineStr"/>
      <c r="K5" s="3" t="n">
        <v>61.9</v>
      </c>
      <c r="L5" t="inlineStr"/>
      <c r="M5" s="3" t="n">
        <v>74.40000000000001</v>
      </c>
      <c r="N5" s="3" t="n">
        <v>139.1</v>
      </c>
      <c r="O5" t="inlineStr"/>
      <c r="P5" s="3" t="n">
        <v>111.6</v>
      </c>
      <c r="Q5" t="inlineStr"/>
      <c r="R5" s="2" t="n">
        <v>2511463</v>
      </c>
      <c r="S5" t="inlineStr"/>
      <c r="T5" t="inlineStr"/>
      <c r="U5" t="inlineStr"/>
      <c r="V5" s="4">
        <f>IF(AND(ISNUMBER(R5),ISNUMBER(U5)),R5/U5*100,"")</f>
        <v/>
      </c>
    </row>
    <row r="6">
      <c r="A6" t="inlineStr">
        <is>
          <t>2011-Q1</t>
        </is>
      </c>
      <c r="B6" t="inlineStr"/>
      <c r="C6" t="inlineStr"/>
      <c r="D6" s="3" t="n">
        <v>68.5</v>
      </c>
      <c r="E6" s="3" t="n">
        <v>79.40000000000001</v>
      </c>
      <c r="F6" t="inlineStr"/>
      <c r="G6" t="inlineStr"/>
      <c r="H6" t="inlineStr"/>
      <c r="I6" s="3" t="n">
        <v>81.40000000000001</v>
      </c>
      <c r="J6" t="inlineStr"/>
      <c r="K6" s="3" t="n">
        <v>63.3</v>
      </c>
      <c r="L6" t="inlineStr"/>
      <c r="M6" s="3" t="n">
        <v>77.2</v>
      </c>
      <c r="N6" s="3" t="n">
        <v>138</v>
      </c>
      <c r="O6" t="inlineStr"/>
      <c r="P6" s="3" t="n">
        <v>116</v>
      </c>
      <c r="Q6" t="inlineStr"/>
      <c r="R6" s="2" t="n">
        <v>2637036</v>
      </c>
      <c r="S6" t="inlineStr"/>
      <c r="T6" t="inlineStr"/>
      <c r="U6" t="inlineStr"/>
      <c r="V6" s="4">
        <f>IF(AND(ISNUMBER(R6),ISNUMBER(U6)),R6/U6*100,"")</f>
        <v/>
      </c>
    </row>
    <row r="7">
      <c r="A7" t="inlineStr">
        <is>
          <t>2011-Q2</t>
        </is>
      </c>
      <c r="B7" t="inlineStr"/>
      <c r="C7" t="inlineStr"/>
      <c r="D7" s="3" t="n">
        <v>68.09999999999999</v>
      </c>
      <c r="E7" t="inlineStr"/>
      <c r="F7" t="inlineStr"/>
      <c r="G7" s="3" t="n">
        <v>86.5</v>
      </c>
      <c r="H7" t="inlineStr"/>
      <c r="I7" s="3" t="n">
        <v>81.09999999999999</v>
      </c>
      <c r="J7" t="inlineStr"/>
      <c r="K7" s="3" t="n">
        <v>68.2</v>
      </c>
      <c r="L7" t="inlineStr"/>
      <c r="M7" s="3" t="n">
        <v>82.2</v>
      </c>
      <c r="N7" s="3" t="n">
        <v>138.1</v>
      </c>
      <c r="O7" t="inlineStr"/>
      <c r="P7" s="3" t="n">
        <v>117.8</v>
      </c>
      <c r="Q7" t="inlineStr"/>
      <c r="R7" s="2" t="n">
        <v>2685256</v>
      </c>
      <c r="S7" t="inlineStr"/>
      <c r="T7" t="inlineStr"/>
      <c r="U7" t="inlineStr"/>
      <c r="V7" s="4">
        <f>IF(AND(ISNUMBER(R7),ISNUMBER(U7)),R7/U7*100,"")</f>
        <v/>
      </c>
    </row>
    <row r="8">
      <c r="A8" t="inlineStr">
        <is>
          <t>2011-Q3</t>
        </is>
      </c>
      <c r="B8" t="inlineStr"/>
      <c r="C8" t="inlineStr"/>
      <c r="D8" s="3" t="n">
        <v>69.40000000000001</v>
      </c>
      <c r="E8" s="3" t="n">
        <v>84.09999999999999</v>
      </c>
      <c r="F8" t="inlineStr"/>
      <c r="G8" t="inlineStr"/>
      <c r="H8" t="inlineStr"/>
      <c r="I8" s="3" t="n">
        <v>81.5</v>
      </c>
      <c r="J8" t="inlineStr"/>
      <c r="K8" s="3" t="n">
        <v>69.3</v>
      </c>
      <c r="L8" t="inlineStr"/>
      <c r="M8" s="3" t="n">
        <v>85.7</v>
      </c>
      <c r="N8" s="3" t="n">
        <v>139.5</v>
      </c>
      <c r="O8" t="inlineStr"/>
      <c r="P8" s="3" t="n">
        <v>117.1</v>
      </c>
      <c r="Q8" t="inlineStr"/>
      <c r="R8" s="2" t="n">
        <v>2716398</v>
      </c>
      <c r="S8" t="inlineStr"/>
      <c r="T8" t="inlineStr"/>
      <c r="U8" t="inlineStr"/>
      <c r="V8" s="4">
        <f>IF(AND(ISNUMBER(R8),ISNUMBER(U8)),R8/U8*100,"")</f>
        <v/>
      </c>
    </row>
    <row r="9">
      <c r="A9" t="inlineStr">
        <is>
          <t>2011-Q4</t>
        </is>
      </c>
      <c r="B9" s="3" t="n">
        <v>99.5</v>
      </c>
      <c r="C9" t="inlineStr"/>
      <c r="D9" s="3" t="n">
        <v>70.40000000000001</v>
      </c>
      <c r="E9" s="3" t="n">
        <v>84.7</v>
      </c>
      <c r="F9" t="inlineStr"/>
      <c r="G9" s="3" t="n">
        <v>85.5</v>
      </c>
      <c r="H9" t="inlineStr"/>
      <c r="I9" s="3" t="n">
        <v>80.5</v>
      </c>
      <c r="J9" t="inlineStr"/>
      <c r="K9" s="3" t="n">
        <v>71.90000000000001</v>
      </c>
      <c r="L9" t="inlineStr"/>
      <c r="M9" s="3" t="n">
        <v>87</v>
      </c>
      <c r="N9" s="3" t="n">
        <v>137.6</v>
      </c>
      <c r="O9" t="inlineStr"/>
      <c r="P9" s="3" t="n">
        <v>118.1</v>
      </c>
      <c r="Q9" t="inlineStr"/>
      <c r="R9" s="2" t="n">
        <v>2785213</v>
      </c>
      <c r="S9" t="inlineStr"/>
      <c r="T9" t="inlineStr"/>
      <c r="U9" t="inlineStr"/>
      <c r="V9" s="4">
        <f>IF(AND(ISNUMBER(R9),ISNUMBER(U9)),R9/U9*100,"")</f>
        <v/>
      </c>
    </row>
    <row r="10">
      <c r="A10" t="inlineStr">
        <is>
          <t>2012-Q1</t>
        </is>
      </c>
      <c r="B10" t="inlineStr"/>
      <c r="C10" t="inlineStr"/>
      <c r="D10" s="3" t="n">
        <v>70</v>
      </c>
      <c r="E10" s="3" t="n">
        <v>85.7</v>
      </c>
      <c r="F10" t="inlineStr"/>
      <c r="G10" s="3" t="n">
        <v>90.09999999999999</v>
      </c>
      <c r="H10" t="inlineStr"/>
      <c r="I10" s="3" t="n">
        <v>79.90000000000001</v>
      </c>
      <c r="J10" t="inlineStr"/>
      <c r="K10" s="3" t="n">
        <v>72.40000000000001</v>
      </c>
      <c r="L10" t="inlineStr"/>
      <c r="M10" s="3" t="n">
        <v>87.8</v>
      </c>
      <c r="N10" s="3" t="n">
        <v>138.1</v>
      </c>
      <c r="O10" t="inlineStr"/>
      <c r="P10" s="3" t="n">
        <v>113.7</v>
      </c>
      <c r="Q10" t="inlineStr"/>
      <c r="R10" s="2" t="n">
        <v>2813333</v>
      </c>
      <c r="S10" t="inlineStr"/>
      <c r="T10" t="inlineStr"/>
      <c r="U10" t="inlineStr"/>
      <c r="V10" s="4">
        <f>IF(AND(ISNUMBER(R10),ISNUMBER(U10)),R10/U10*100,"")</f>
        <v/>
      </c>
    </row>
    <row r="11">
      <c r="A11" t="inlineStr">
        <is>
          <t>2012-Q2</t>
        </is>
      </c>
      <c r="B11" t="inlineStr"/>
      <c r="C11" t="inlineStr"/>
      <c r="D11" s="3" t="n">
        <v>69.7</v>
      </c>
      <c r="E11" s="3" t="n">
        <v>85.40000000000001</v>
      </c>
      <c r="F11" t="inlineStr"/>
      <c r="G11" s="3" t="n">
        <v>92.2</v>
      </c>
      <c r="H11" t="inlineStr"/>
      <c r="I11" s="3" t="n">
        <v>81.8</v>
      </c>
      <c r="J11" t="inlineStr"/>
      <c r="K11" s="3" t="n">
        <v>74.90000000000001</v>
      </c>
      <c r="L11" t="inlineStr"/>
      <c r="M11" s="3" t="n">
        <v>91.90000000000001</v>
      </c>
      <c r="N11" s="3" t="n">
        <v>135.5</v>
      </c>
      <c r="O11" t="inlineStr"/>
      <c r="P11" s="3" t="n">
        <v>108.8</v>
      </c>
      <c r="Q11" t="inlineStr"/>
      <c r="R11" s="2" t="n">
        <v>2887697</v>
      </c>
      <c r="S11" t="inlineStr"/>
      <c r="T11" t="inlineStr"/>
      <c r="U11" t="inlineStr"/>
      <c r="V11" s="4">
        <f>IF(AND(ISNUMBER(R11),ISNUMBER(U11)),R11/U11*100,"")</f>
        <v/>
      </c>
    </row>
    <row r="12">
      <c r="A12" t="inlineStr">
        <is>
          <t>2012-Q3</t>
        </is>
      </c>
      <c r="B12" t="inlineStr"/>
      <c r="C12" t="inlineStr"/>
      <c r="D12" s="3" t="n">
        <v>70.7</v>
      </c>
      <c r="E12" s="3" t="n">
        <v>84.09999999999999</v>
      </c>
      <c r="F12" t="inlineStr"/>
      <c r="G12" s="3" t="n">
        <v>93.59999999999999</v>
      </c>
      <c r="H12" t="inlineStr"/>
      <c r="I12" s="3" t="n">
        <v>81.8</v>
      </c>
      <c r="J12" t="inlineStr"/>
      <c r="K12" s="3" t="n">
        <v>75.2</v>
      </c>
      <c r="L12" t="inlineStr"/>
      <c r="M12" s="3" t="n">
        <v>93.7</v>
      </c>
      <c r="N12" s="3" t="n">
        <v>135.5</v>
      </c>
      <c r="O12" t="inlineStr"/>
      <c r="P12" s="3" t="n">
        <v>106</v>
      </c>
      <c r="Q12" t="inlineStr"/>
      <c r="R12" s="2" t="n">
        <v>2915695</v>
      </c>
      <c r="S12" t="inlineStr"/>
      <c r="T12" t="inlineStr"/>
      <c r="U12" t="inlineStr"/>
      <c r="V12" s="4">
        <f>IF(AND(ISNUMBER(R12),ISNUMBER(U12)),R12/U12*100,"")</f>
        <v/>
      </c>
    </row>
    <row r="13">
      <c r="A13" t="inlineStr">
        <is>
          <t>2012-Q4</t>
        </is>
      </c>
      <c r="B13" s="3" t="n">
        <v>89.5</v>
      </c>
      <c r="C13" t="inlineStr"/>
      <c r="D13" s="3" t="n">
        <v>71.3</v>
      </c>
      <c r="E13" s="3" t="n">
        <v>86.09999999999999</v>
      </c>
      <c r="F13" t="inlineStr"/>
      <c r="G13" s="3" t="n">
        <v>94.09999999999999</v>
      </c>
      <c r="H13" t="inlineStr"/>
      <c r="I13" s="3" t="n">
        <v>81.8</v>
      </c>
      <c r="J13" t="inlineStr"/>
      <c r="K13" s="3" t="n">
        <v>74.8</v>
      </c>
      <c r="L13" t="inlineStr"/>
      <c r="M13" s="3" t="n">
        <v>94.59999999999999</v>
      </c>
      <c r="N13" s="3" t="n">
        <v>134.2</v>
      </c>
      <c r="O13" t="inlineStr"/>
      <c r="P13" s="3" t="n">
        <v>107.5</v>
      </c>
      <c r="Q13" t="inlineStr"/>
      <c r="R13" s="2" t="n">
        <v>3090904</v>
      </c>
      <c r="S13" t="inlineStr"/>
      <c r="T13" t="inlineStr"/>
      <c r="U13" t="inlineStr"/>
      <c r="V13" s="4">
        <f>IF(AND(ISNUMBER(R13),ISNUMBER(U13)),R13/U13*100,"")</f>
        <v/>
      </c>
    </row>
    <row r="14">
      <c r="A14" t="inlineStr">
        <is>
          <t>2013-Q1</t>
        </is>
      </c>
      <c r="B14" t="inlineStr"/>
      <c r="C14" t="inlineStr"/>
      <c r="D14" s="3" t="n">
        <v>70</v>
      </c>
      <c r="E14" s="3" t="n">
        <v>86</v>
      </c>
      <c r="F14" t="inlineStr"/>
      <c r="G14" s="3" t="n">
        <v>95</v>
      </c>
      <c r="H14" t="inlineStr"/>
      <c r="I14" s="3" t="n">
        <v>81.3</v>
      </c>
      <c r="J14" t="inlineStr"/>
      <c r="K14" s="3" t="n">
        <v>75.2</v>
      </c>
      <c r="L14" t="inlineStr"/>
      <c r="M14" s="3" t="n">
        <v>96.5</v>
      </c>
      <c r="N14" s="3" t="n">
        <v>131.2</v>
      </c>
      <c r="O14" t="inlineStr"/>
      <c r="P14" s="3" t="n">
        <v>108.7</v>
      </c>
      <c r="Q14" t="inlineStr"/>
      <c r="R14" s="2" t="n">
        <v>3127145</v>
      </c>
      <c r="S14" t="inlineStr"/>
      <c r="T14" t="inlineStr"/>
      <c r="U14" t="inlineStr"/>
      <c r="V14" s="4">
        <f>IF(AND(ISNUMBER(R14),ISNUMBER(U14)),R14/U14*100,"")</f>
        <v/>
      </c>
    </row>
    <row r="15">
      <c r="A15" t="inlineStr">
        <is>
          <t>2013-Q2</t>
        </is>
      </c>
      <c r="B15" t="inlineStr"/>
      <c r="C15" t="inlineStr"/>
      <c r="D15" s="3" t="n">
        <v>70.3</v>
      </c>
      <c r="E15" s="3" t="n">
        <v>85.09999999999999</v>
      </c>
      <c r="F15" t="inlineStr"/>
      <c r="G15" s="3" t="n">
        <v>97.3</v>
      </c>
      <c r="H15" t="inlineStr"/>
      <c r="I15" s="3" t="n">
        <v>82.5</v>
      </c>
      <c r="J15" t="inlineStr"/>
      <c r="K15" s="3" t="n">
        <v>72.59999999999999</v>
      </c>
      <c r="L15" t="inlineStr"/>
      <c r="M15" s="3" t="n">
        <v>99.5</v>
      </c>
      <c r="N15" s="3" t="n">
        <v>132.9</v>
      </c>
      <c r="O15" t="inlineStr"/>
      <c r="P15" s="3" t="n">
        <v>108.7</v>
      </c>
      <c r="Q15" t="inlineStr"/>
      <c r="R15" s="2" t="n">
        <v>3236786</v>
      </c>
      <c r="S15" t="inlineStr"/>
      <c r="T15" t="inlineStr"/>
      <c r="U15" t="inlineStr"/>
      <c r="V15" s="4">
        <f>IF(AND(ISNUMBER(R15),ISNUMBER(U15)),R15/U15*100,"")</f>
        <v/>
      </c>
    </row>
    <row r="16">
      <c r="A16" t="inlineStr">
        <is>
          <t>2013-Q3</t>
        </is>
      </c>
      <c r="B16" t="inlineStr"/>
      <c r="C16" t="inlineStr"/>
      <c r="D16" s="3" t="n">
        <v>70.8</v>
      </c>
      <c r="E16" s="3" t="n">
        <v>86.7</v>
      </c>
      <c r="F16" t="inlineStr"/>
      <c r="G16" s="3" t="n">
        <v>98.59999999999999</v>
      </c>
      <c r="H16" t="inlineStr"/>
      <c r="I16" s="3" t="n">
        <v>83.7</v>
      </c>
      <c r="J16" t="inlineStr"/>
      <c r="K16" s="3" t="n">
        <v>69.7</v>
      </c>
      <c r="L16" t="inlineStr"/>
      <c r="M16" s="3" t="n">
        <v>101.8</v>
      </c>
      <c r="N16" s="3" t="n">
        <v>132.2</v>
      </c>
      <c r="O16" t="inlineStr"/>
      <c r="P16" s="3" t="n">
        <v>107.2</v>
      </c>
      <c r="Q16" t="inlineStr"/>
      <c r="R16" s="2" t="n">
        <v>3303252</v>
      </c>
      <c r="S16" t="inlineStr"/>
      <c r="T16" t="inlineStr"/>
      <c r="U16" t="inlineStr"/>
      <c r="V16" s="4">
        <f>IF(AND(ISNUMBER(R16),ISNUMBER(U16)),R16/U16*100,"")</f>
        <v/>
      </c>
    </row>
    <row r="17">
      <c r="A17" t="inlineStr">
        <is>
          <t>2013-Q4</t>
        </is>
      </c>
      <c r="B17" s="3" t="n">
        <v>81.7</v>
      </c>
      <c r="C17" t="inlineStr"/>
      <c r="D17" s="3" t="n">
        <v>71.59999999999999</v>
      </c>
      <c r="E17" s="3" t="n">
        <v>86.8</v>
      </c>
      <c r="F17" t="inlineStr"/>
      <c r="G17" s="3" t="n">
        <v>99.09999999999999</v>
      </c>
      <c r="H17" t="inlineStr"/>
      <c r="I17" s="3" t="n">
        <v>84.5</v>
      </c>
      <c r="J17" t="inlineStr"/>
      <c r="K17" s="3" t="n">
        <v>67.7</v>
      </c>
      <c r="L17" t="inlineStr"/>
      <c r="M17" s="3" t="n">
        <v>106.8</v>
      </c>
      <c r="N17" s="3" t="n">
        <v>134.8</v>
      </c>
      <c r="O17" t="inlineStr"/>
      <c r="P17" s="3" t="n">
        <v>107.8</v>
      </c>
      <c r="Q17" t="inlineStr"/>
      <c r="R17" s="2" t="n">
        <v>3477985</v>
      </c>
      <c r="S17" t="inlineStr"/>
      <c r="T17" t="inlineStr"/>
      <c r="U17" t="inlineStr"/>
      <c r="V17" s="4">
        <f>IF(AND(ISNUMBER(R17),ISNUMBER(U17)),R17/U17*100,"")</f>
        <v/>
      </c>
    </row>
    <row r="18">
      <c r="A18" t="inlineStr">
        <is>
          <t>2014-Q1</t>
        </is>
      </c>
      <c r="B18" t="inlineStr"/>
      <c r="C18" t="inlineStr"/>
      <c r="D18" s="3" t="n">
        <v>71.40000000000001</v>
      </c>
      <c r="E18" s="3" t="n">
        <v>87.7</v>
      </c>
      <c r="F18" t="inlineStr"/>
      <c r="G18" s="3" t="n">
        <v>101.7</v>
      </c>
      <c r="H18" t="inlineStr"/>
      <c r="I18" s="3" t="n">
        <v>85</v>
      </c>
      <c r="J18" t="inlineStr"/>
      <c r="K18" s="3" t="n">
        <v>69.2</v>
      </c>
      <c r="L18" t="inlineStr"/>
      <c r="M18" s="3" t="n">
        <v>107</v>
      </c>
      <c r="N18" s="3" t="n">
        <v>136</v>
      </c>
      <c r="O18" t="inlineStr"/>
      <c r="P18" s="3" t="n">
        <v>107.8</v>
      </c>
      <c r="Q18" t="inlineStr"/>
      <c r="R18" s="2" t="n">
        <v>3496178</v>
      </c>
      <c r="S18" t="inlineStr"/>
      <c r="T18" t="inlineStr"/>
      <c r="U18" t="inlineStr"/>
      <c r="V18" s="4">
        <f>IF(AND(ISNUMBER(R18),ISNUMBER(U18)),R18/U18*100,"")</f>
        <v/>
      </c>
    </row>
    <row r="19">
      <c r="A19" t="inlineStr">
        <is>
          <t>2014-Q2</t>
        </is>
      </c>
      <c r="B19" s="3" t="n">
        <v>77.7</v>
      </c>
      <c r="C19" t="inlineStr"/>
      <c r="D19" s="3" t="n">
        <v>70.7</v>
      </c>
      <c r="E19" s="3" t="n">
        <v>86.90000000000001</v>
      </c>
      <c r="F19" t="inlineStr"/>
      <c r="G19" s="3" t="n">
        <v>100.2</v>
      </c>
      <c r="H19" t="inlineStr"/>
      <c r="I19" s="3" t="n">
        <v>85.59999999999999</v>
      </c>
      <c r="J19" t="inlineStr"/>
      <c r="K19" s="3" t="n">
        <v>70.7</v>
      </c>
      <c r="L19" t="inlineStr"/>
      <c r="M19" s="3" t="n">
        <v>111.7</v>
      </c>
      <c r="N19" s="3" t="n">
        <v>135.2</v>
      </c>
      <c r="O19" t="inlineStr"/>
      <c r="P19" s="3" t="n">
        <v>109.8</v>
      </c>
      <c r="Q19" t="inlineStr"/>
      <c r="R19" s="2" t="n">
        <v>3607354</v>
      </c>
      <c r="S19" t="inlineStr"/>
      <c r="T19" t="inlineStr"/>
      <c r="U19" t="inlineStr"/>
      <c r="V19" s="4">
        <f>IF(AND(ISNUMBER(R19),ISNUMBER(U19)),R19/U19*100,"")</f>
        <v/>
      </c>
    </row>
    <row r="20">
      <c r="A20" t="inlineStr">
        <is>
          <t>2014-Q3</t>
        </is>
      </c>
      <c r="B20" t="inlineStr"/>
      <c r="C20" t="inlineStr"/>
      <c r="D20" s="3" t="n">
        <v>72.8</v>
      </c>
      <c r="E20" s="3" t="n">
        <v>83.8</v>
      </c>
      <c r="F20" t="inlineStr"/>
      <c r="G20" s="3" t="n">
        <v>100.2</v>
      </c>
      <c r="H20" t="inlineStr"/>
      <c r="I20" s="3" t="n">
        <v>86</v>
      </c>
      <c r="J20" t="inlineStr"/>
      <c r="K20" s="3" t="n">
        <v>73.40000000000001</v>
      </c>
      <c r="L20" t="inlineStr"/>
      <c r="M20" s="3" t="n">
        <v>111</v>
      </c>
      <c r="N20" s="3" t="n">
        <v>138.5</v>
      </c>
      <c r="O20" t="inlineStr"/>
      <c r="P20" s="3" t="n">
        <v>110.8</v>
      </c>
      <c r="Q20" t="inlineStr"/>
      <c r="R20" s="2" t="n">
        <v>3734181</v>
      </c>
      <c r="S20" t="inlineStr"/>
      <c r="T20" t="inlineStr"/>
      <c r="U20" t="inlineStr"/>
      <c r="V20" s="4">
        <f>IF(AND(ISNUMBER(R20),ISNUMBER(U20)),R20/U20*100,"")</f>
        <v/>
      </c>
    </row>
    <row r="21">
      <c r="A21" t="inlineStr">
        <is>
          <t>2014-Q4</t>
        </is>
      </c>
      <c r="B21" s="3" t="n">
        <v>78.09999999999999</v>
      </c>
      <c r="C21" t="inlineStr"/>
      <c r="D21" s="3" t="n">
        <v>73.90000000000001</v>
      </c>
      <c r="E21" s="3" t="n">
        <v>84.5</v>
      </c>
      <c r="F21" t="inlineStr"/>
      <c r="G21" s="3" t="n">
        <v>99.90000000000001</v>
      </c>
      <c r="H21" t="inlineStr"/>
      <c r="I21" s="3" t="n">
        <v>86.5</v>
      </c>
      <c r="J21" t="inlineStr"/>
      <c r="K21" s="3" t="n">
        <v>74.2</v>
      </c>
      <c r="L21" t="inlineStr"/>
      <c r="M21" s="3" t="n">
        <v>110.3</v>
      </c>
      <c r="N21" s="3" t="n">
        <v>141.3</v>
      </c>
      <c r="O21" t="inlineStr"/>
      <c r="P21" s="3" t="n">
        <v>109.8</v>
      </c>
      <c r="Q21" t="inlineStr"/>
      <c r="R21" s="2" t="n">
        <v>3970548</v>
      </c>
      <c r="S21" t="inlineStr"/>
      <c r="T21" t="inlineStr"/>
      <c r="U21" t="inlineStr"/>
      <c r="V21" s="4">
        <f>IF(AND(ISNUMBER(R21),ISNUMBER(U21)),R21/U21*100,"")</f>
        <v/>
      </c>
    </row>
    <row r="22">
      <c r="A22" t="inlineStr">
        <is>
          <t>2015-Q1</t>
        </is>
      </c>
      <c r="B22" t="inlineStr"/>
      <c r="C22" t="inlineStr"/>
      <c r="D22" s="3" t="n">
        <v>70.90000000000001</v>
      </c>
      <c r="E22" s="3" t="n">
        <v>85.59999999999999</v>
      </c>
      <c r="F22" t="inlineStr"/>
      <c r="G22" s="3" t="n">
        <v>97.2</v>
      </c>
      <c r="H22" t="inlineStr"/>
      <c r="I22" s="3" t="n">
        <v>86.5</v>
      </c>
      <c r="J22" t="inlineStr"/>
      <c r="K22" s="3" t="n">
        <v>73.7</v>
      </c>
      <c r="L22" t="inlineStr"/>
      <c r="M22" s="3" t="n">
        <v>107.6</v>
      </c>
      <c r="N22" s="3" t="n">
        <v>133.5</v>
      </c>
      <c r="O22" t="inlineStr"/>
      <c r="P22" s="3" t="n">
        <v>111.1</v>
      </c>
      <c r="Q22" t="inlineStr"/>
      <c r="R22" s="2" t="n">
        <v>4075612</v>
      </c>
      <c r="S22" t="inlineStr"/>
      <c r="T22" t="inlineStr"/>
      <c r="U22" t="inlineStr"/>
      <c r="V22" s="4">
        <f>IF(AND(ISNUMBER(R22),ISNUMBER(U22)),R22/U22*100,"")</f>
        <v/>
      </c>
    </row>
    <row r="23">
      <c r="A23" t="inlineStr">
        <is>
          <t>2015-Q2</t>
        </is>
      </c>
      <c r="B23" s="3" t="n">
        <v>78</v>
      </c>
      <c r="C23" t="inlineStr"/>
      <c r="D23" s="3" t="n">
        <v>69.40000000000001</v>
      </c>
      <c r="E23" s="3" t="n">
        <v>83.59999999999999</v>
      </c>
      <c r="F23" t="inlineStr"/>
      <c r="G23" s="3" t="n">
        <v>97.90000000000001</v>
      </c>
      <c r="H23" t="inlineStr"/>
      <c r="I23" s="3" t="n">
        <v>87.8</v>
      </c>
      <c r="J23" t="inlineStr"/>
      <c r="K23" s="3" t="n">
        <v>74.90000000000001</v>
      </c>
      <c r="L23" t="inlineStr"/>
      <c r="M23" s="3" t="n">
        <v>110.6</v>
      </c>
      <c r="N23" s="3" t="n">
        <v>132.1</v>
      </c>
      <c r="O23" t="inlineStr"/>
      <c r="P23" s="3" t="n">
        <v>111.1</v>
      </c>
      <c r="Q23" t="inlineStr"/>
      <c r="R23" s="2" t="n">
        <v>4282604</v>
      </c>
      <c r="S23" t="inlineStr"/>
      <c r="T23" t="inlineStr"/>
      <c r="U23" t="inlineStr"/>
      <c r="V23" s="4">
        <f>IF(AND(ISNUMBER(R23),ISNUMBER(U23)),R23/U23*100,"")</f>
        <v/>
      </c>
    </row>
    <row r="24">
      <c r="A24" t="inlineStr">
        <is>
          <t>2015-Q3</t>
        </is>
      </c>
      <c r="B24" t="inlineStr"/>
      <c r="C24" t="inlineStr"/>
      <c r="D24" s="3" t="n">
        <v>70.90000000000001</v>
      </c>
      <c r="E24" s="3" t="n">
        <v>83.59999999999999</v>
      </c>
      <c r="F24" t="inlineStr"/>
      <c r="G24" s="3" t="n">
        <v>98.09999999999999</v>
      </c>
      <c r="H24" t="inlineStr"/>
      <c r="I24" s="3" t="n">
        <v>89.7</v>
      </c>
      <c r="J24" t="inlineStr"/>
      <c r="K24" s="3" t="n">
        <v>74.5</v>
      </c>
      <c r="L24" t="inlineStr"/>
      <c r="M24" s="3" t="n">
        <v>108.2</v>
      </c>
      <c r="N24" s="3" t="n">
        <v>132.2</v>
      </c>
      <c r="O24" t="inlineStr"/>
      <c r="P24" s="3" t="n">
        <v>110.1</v>
      </c>
      <c r="Q24" t="inlineStr"/>
      <c r="R24" s="2" t="n">
        <v>4451893</v>
      </c>
      <c r="S24" t="inlineStr"/>
      <c r="T24" t="inlineStr"/>
      <c r="U24" t="inlineStr"/>
      <c r="V24" s="4">
        <f>IF(AND(ISNUMBER(R24),ISNUMBER(U24)),R24/U24*100,"")</f>
        <v/>
      </c>
    </row>
    <row r="25">
      <c r="A25" t="inlineStr">
        <is>
          <t>2015-Q4</t>
        </is>
      </c>
      <c r="B25" s="3" t="n">
        <v>79.7</v>
      </c>
      <c r="C25" t="inlineStr"/>
      <c r="D25" s="3" t="n">
        <v>71.09999999999999</v>
      </c>
      <c r="E25" s="3" t="n">
        <v>84.90000000000001</v>
      </c>
      <c r="F25" t="inlineStr"/>
      <c r="G25" s="3" t="n">
        <v>100.4</v>
      </c>
      <c r="H25" t="inlineStr"/>
      <c r="I25" s="3" t="n">
        <v>90.59999999999999</v>
      </c>
      <c r="J25" t="inlineStr"/>
      <c r="K25" s="3" t="n">
        <v>76.90000000000001</v>
      </c>
      <c r="L25" t="inlineStr"/>
      <c r="M25" s="3" t="n">
        <v>107.1</v>
      </c>
      <c r="N25" s="3" t="n">
        <v>131.6</v>
      </c>
      <c r="O25" t="inlineStr"/>
      <c r="P25" s="3" t="n">
        <v>109.7</v>
      </c>
      <c r="Q25" t="inlineStr"/>
      <c r="R25" s="2" t="n">
        <v>4655890</v>
      </c>
      <c r="S25" t="inlineStr"/>
      <c r="T25" t="inlineStr"/>
      <c r="U25" t="inlineStr"/>
      <c r="V25" s="4">
        <f>IF(AND(ISNUMBER(R25),ISNUMBER(U25)),R25/U25*100,"")</f>
        <v/>
      </c>
    </row>
    <row r="26">
      <c r="A26" t="inlineStr">
        <is>
          <t>2016-Q1</t>
        </is>
      </c>
      <c r="B26" t="inlineStr"/>
      <c r="C26" t="inlineStr"/>
      <c r="D26" s="3" t="n">
        <v>71.40000000000001</v>
      </c>
      <c r="E26" s="3" t="n">
        <v>84.59999999999999</v>
      </c>
      <c r="F26" t="inlineStr"/>
      <c r="G26" s="3" t="n">
        <v>99.8</v>
      </c>
      <c r="H26" t="inlineStr"/>
      <c r="I26" s="3" t="n">
        <v>90.7</v>
      </c>
      <c r="J26" t="inlineStr"/>
      <c r="K26" s="3" t="n">
        <v>76.2</v>
      </c>
      <c r="L26" t="inlineStr"/>
      <c r="M26" s="3" t="n">
        <v>103</v>
      </c>
      <c r="N26" s="3" t="n">
        <v>140.2</v>
      </c>
      <c r="O26" t="inlineStr"/>
      <c r="P26" s="3" t="n">
        <v>110.6</v>
      </c>
      <c r="Q26" t="inlineStr"/>
      <c r="R26" s="2" t="n">
        <v>4797202</v>
      </c>
      <c r="S26" t="inlineStr"/>
      <c r="T26" t="inlineStr"/>
      <c r="U26" t="inlineStr"/>
      <c r="V26" s="4">
        <f>IF(AND(ISNUMBER(R26),ISNUMBER(U26)),R26/U26*100,"")</f>
        <v/>
      </c>
    </row>
    <row r="27">
      <c r="A27" t="inlineStr">
        <is>
          <t>2016-Q2</t>
        </is>
      </c>
      <c r="B27" s="3" t="n">
        <v>78.5</v>
      </c>
      <c r="C27" t="inlineStr"/>
      <c r="D27" s="3" t="n">
        <v>70.8</v>
      </c>
      <c r="E27" s="3" t="n">
        <v>83.40000000000001</v>
      </c>
      <c r="F27" t="inlineStr"/>
      <c r="G27" s="3" t="n">
        <v>98.40000000000001</v>
      </c>
      <c r="H27" t="inlineStr"/>
      <c r="I27" s="3" t="n">
        <v>91.59999999999999</v>
      </c>
      <c r="J27" t="inlineStr"/>
      <c r="K27" s="3" t="n">
        <v>77.40000000000001</v>
      </c>
      <c r="L27" t="inlineStr"/>
      <c r="M27" s="3" t="n">
        <v>103</v>
      </c>
      <c r="N27" s="3" t="n">
        <v>140.4</v>
      </c>
      <c r="O27" t="inlineStr"/>
      <c r="P27" s="3" t="n">
        <v>111.6</v>
      </c>
      <c r="Q27" t="inlineStr"/>
      <c r="R27" s="2" t="n">
        <v>5037936</v>
      </c>
      <c r="S27" t="inlineStr"/>
      <c r="T27" t="inlineStr"/>
      <c r="U27" t="inlineStr"/>
      <c r="V27" s="4">
        <f>IF(AND(ISNUMBER(R27),ISNUMBER(U27)),R27/U27*100,"")</f>
        <v/>
      </c>
    </row>
    <row r="28">
      <c r="A28" t="inlineStr">
        <is>
          <t>2016-Q3</t>
        </is>
      </c>
      <c r="B28" t="inlineStr"/>
      <c r="C28" t="inlineStr"/>
      <c r="D28" s="3" t="n">
        <v>71.59999999999999</v>
      </c>
      <c r="E28" s="3" t="n">
        <v>81.59999999999999</v>
      </c>
      <c r="F28" t="inlineStr"/>
      <c r="G28" s="3" t="n">
        <v>99.2</v>
      </c>
      <c r="H28" t="inlineStr"/>
      <c r="I28" s="3" t="n">
        <v>92.59999999999999</v>
      </c>
      <c r="J28" t="inlineStr"/>
      <c r="K28" s="3" t="n">
        <v>76.2</v>
      </c>
      <c r="L28" t="inlineStr"/>
      <c r="M28" s="3" t="n">
        <v>102.9</v>
      </c>
      <c r="N28" s="3" t="n">
        <v>143.2</v>
      </c>
      <c r="O28" t="inlineStr"/>
      <c r="P28" s="3" t="n">
        <v>111.8</v>
      </c>
      <c r="Q28" t="inlineStr"/>
      <c r="R28" s="2" t="n">
        <v>5198026</v>
      </c>
      <c r="S28" t="inlineStr"/>
      <c r="T28" t="inlineStr"/>
      <c r="U28" t="inlineStr"/>
      <c r="V28" s="4">
        <f>IF(AND(ISNUMBER(R28),ISNUMBER(U28)),R28/U28*100,"")</f>
        <v/>
      </c>
    </row>
    <row r="29">
      <c r="A29" t="inlineStr">
        <is>
          <t>2016-Q4</t>
        </is>
      </c>
      <c r="B29" s="3" t="n">
        <v>81.40000000000001</v>
      </c>
      <c r="C29" t="inlineStr"/>
      <c r="D29" s="3" t="n">
        <v>72</v>
      </c>
      <c r="E29" s="3" t="n">
        <v>75.5</v>
      </c>
      <c r="F29" t="inlineStr"/>
      <c r="G29" s="3" t="n">
        <v>96.40000000000001</v>
      </c>
      <c r="H29" t="inlineStr"/>
      <c r="I29" s="3" t="n">
        <v>93.90000000000001</v>
      </c>
      <c r="J29" t="inlineStr"/>
      <c r="K29" s="3" t="n">
        <v>76.3</v>
      </c>
      <c r="L29" t="inlineStr"/>
      <c r="M29" s="3" t="n">
        <v>103.5</v>
      </c>
      <c r="N29" s="3" t="n">
        <v>140.5</v>
      </c>
      <c r="O29" t="inlineStr"/>
      <c r="P29" s="3" t="n">
        <v>109.9</v>
      </c>
      <c r="Q29" t="inlineStr"/>
      <c r="R29" s="2" t="n">
        <v>5505406</v>
      </c>
      <c r="S29" t="inlineStr"/>
      <c r="T29" t="inlineStr"/>
      <c r="U29" t="inlineStr"/>
      <c r="V29" s="4">
        <f>IF(AND(ISNUMBER(R29),ISNUMBER(U29)),R29/U29*100,"")</f>
        <v/>
      </c>
    </row>
    <row r="30">
      <c r="A30" t="inlineStr">
        <is>
          <t>2017-Q1</t>
        </is>
      </c>
      <c r="B30" t="inlineStr"/>
      <c r="C30" t="inlineStr"/>
      <c r="D30" s="3" t="n">
        <v>72.40000000000001</v>
      </c>
      <c r="E30" s="3" t="n">
        <v>78.8</v>
      </c>
      <c r="F30" t="inlineStr"/>
      <c r="G30" s="3" t="n">
        <v>96.90000000000001</v>
      </c>
      <c r="H30" t="inlineStr"/>
      <c r="I30" s="3" t="n">
        <v>93</v>
      </c>
      <c r="J30" t="inlineStr"/>
      <c r="K30" s="3" t="n">
        <v>76.5</v>
      </c>
      <c r="L30" t="inlineStr"/>
      <c r="M30" s="3" t="n">
        <v>103</v>
      </c>
      <c r="N30" s="3" t="n">
        <v>133.5</v>
      </c>
      <c r="O30" t="inlineStr"/>
      <c r="P30" s="3" t="n">
        <v>109.8</v>
      </c>
      <c r="Q30" t="inlineStr"/>
      <c r="R30" s="2" t="n">
        <v>5746188</v>
      </c>
      <c r="S30" t="inlineStr"/>
      <c r="T30" t="inlineStr"/>
      <c r="U30" t="inlineStr"/>
      <c r="V30" s="4">
        <f>IF(AND(ISNUMBER(R30),ISNUMBER(U30)),R30/U30*100,"")</f>
        <v/>
      </c>
    </row>
    <row r="31">
      <c r="A31" t="inlineStr">
        <is>
          <t>2017-Q2</t>
        </is>
      </c>
      <c r="B31" s="3" t="n">
        <v>83.09999999999999</v>
      </c>
      <c r="C31" t="inlineStr"/>
      <c r="D31" s="3" t="n">
        <v>72.8</v>
      </c>
      <c r="E31" s="3" t="n">
        <v>78.40000000000001</v>
      </c>
      <c r="F31" t="inlineStr"/>
      <c r="G31" s="3" t="n">
        <v>95.40000000000001</v>
      </c>
      <c r="H31" t="inlineStr"/>
      <c r="I31" s="3" t="n">
        <v>93.7</v>
      </c>
      <c r="J31" t="inlineStr"/>
      <c r="K31" s="3" t="n">
        <v>76.7</v>
      </c>
      <c r="L31" t="inlineStr"/>
      <c r="M31" s="3" t="n">
        <v>104.8</v>
      </c>
      <c r="N31" s="3" t="n">
        <v>133.9</v>
      </c>
      <c r="O31" t="inlineStr"/>
      <c r="P31" s="3" t="n">
        <v>111.2</v>
      </c>
      <c r="Q31" t="inlineStr"/>
      <c r="R31" s="2" t="n">
        <v>6001383</v>
      </c>
      <c r="S31" t="inlineStr"/>
      <c r="T31" t="inlineStr"/>
      <c r="U31" t="inlineStr"/>
      <c r="V31" s="4">
        <f>IF(AND(ISNUMBER(R31),ISNUMBER(U31)),R31/U31*100,"")</f>
        <v/>
      </c>
    </row>
    <row r="32">
      <c r="A32" t="inlineStr">
        <is>
          <t>2017-Q3</t>
        </is>
      </c>
      <c r="B32" t="inlineStr"/>
      <c r="C32" t="inlineStr"/>
      <c r="D32" s="3" t="n">
        <v>73.59999999999999</v>
      </c>
      <c r="E32" s="3" t="n">
        <v>79</v>
      </c>
      <c r="F32" t="inlineStr"/>
      <c r="G32" s="3" t="n">
        <v>97</v>
      </c>
      <c r="H32" t="inlineStr"/>
      <c r="I32" s="3" t="n">
        <v>93.09999999999999</v>
      </c>
      <c r="J32" t="inlineStr"/>
      <c r="K32" s="3" t="n">
        <v>77.40000000000001</v>
      </c>
      <c r="L32" t="inlineStr"/>
      <c r="M32" s="3" t="n">
        <v>105.6</v>
      </c>
      <c r="N32" s="3" t="n">
        <v>132.6</v>
      </c>
      <c r="O32" t="inlineStr"/>
      <c r="P32" s="3" t="n">
        <v>113</v>
      </c>
      <c r="Q32" t="inlineStr"/>
      <c r="R32" s="2" t="n">
        <v>6177691</v>
      </c>
      <c r="S32" t="inlineStr"/>
      <c r="T32" t="inlineStr"/>
      <c r="U32" t="inlineStr"/>
      <c r="V32" s="4">
        <f>IF(AND(ISNUMBER(R32),ISNUMBER(U32)),R32/U32*100,"")</f>
        <v/>
      </c>
    </row>
    <row r="33">
      <c r="A33" t="inlineStr">
        <is>
          <t>2017-Q4</t>
        </is>
      </c>
      <c r="B33" s="3" t="n">
        <v>85</v>
      </c>
      <c r="C33" t="inlineStr"/>
      <c r="D33" s="3" t="n">
        <v>74.2</v>
      </c>
      <c r="E33" s="3" t="n">
        <v>80.09999999999999</v>
      </c>
      <c r="F33" t="inlineStr"/>
      <c r="G33" s="3" t="n">
        <v>96.3</v>
      </c>
      <c r="H33" t="inlineStr"/>
      <c r="I33" s="3" t="n">
        <v>94</v>
      </c>
      <c r="J33" t="inlineStr"/>
      <c r="K33" s="3" t="n">
        <v>79.59999999999999</v>
      </c>
      <c r="L33" t="inlineStr"/>
      <c r="M33" s="3" t="n">
        <v>107.5</v>
      </c>
      <c r="N33" s="3" t="n">
        <v>132.6</v>
      </c>
      <c r="O33" t="inlineStr"/>
      <c r="P33" s="3" t="n">
        <v>112.6</v>
      </c>
      <c r="Q33" t="inlineStr"/>
      <c r="R33" s="2" t="n">
        <v>6329715</v>
      </c>
      <c r="S33" t="inlineStr"/>
      <c r="T33" t="inlineStr"/>
      <c r="U33" t="inlineStr"/>
      <c r="V33" s="4">
        <f>IF(AND(ISNUMBER(R33),ISNUMBER(U33)),R33/U33*100,"")</f>
        <v/>
      </c>
    </row>
    <row r="34">
      <c r="A34" t="inlineStr">
        <is>
          <t>2018-Q1</t>
        </is>
      </c>
      <c r="B34" t="inlineStr"/>
      <c r="C34" t="inlineStr"/>
      <c r="D34" s="3" t="n">
        <v>74.8</v>
      </c>
      <c r="E34" s="3" t="n">
        <v>80.90000000000001</v>
      </c>
      <c r="F34" t="inlineStr"/>
      <c r="G34" s="3" t="n">
        <v>96.7</v>
      </c>
      <c r="H34" t="inlineStr"/>
      <c r="I34" s="3" t="n">
        <v>91.90000000000001</v>
      </c>
      <c r="J34" t="inlineStr"/>
      <c r="K34" s="3" t="n">
        <v>79.5</v>
      </c>
      <c r="L34" t="inlineStr"/>
      <c r="M34" s="3" t="n">
        <v>108.5</v>
      </c>
      <c r="N34" s="3" t="n">
        <v>131.7</v>
      </c>
      <c r="O34" t="inlineStr"/>
      <c r="P34" s="3" t="n">
        <v>114.5</v>
      </c>
      <c r="Q34" t="inlineStr"/>
      <c r="R34" s="2" t="n">
        <v>6555278</v>
      </c>
      <c r="S34" t="inlineStr"/>
      <c r="T34" t="inlineStr"/>
      <c r="U34" t="inlineStr"/>
      <c r="V34" s="4">
        <f>IF(AND(ISNUMBER(R34),ISNUMBER(U34)),R34/U34*100,"")</f>
        <v/>
      </c>
    </row>
    <row r="35">
      <c r="A35" t="inlineStr">
        <is>
          <t>2018-Q2</t>
        </is>
      </c>
      <c r="B35" s="3" t="n">
        <v>87.3</v>
      </c>
      <c r="C35" t="inlineStr"/>
      <c r="D35" s="3" t="n">
        <v>75.59999999999999</v>
      </c>
      <c r="E35" s="3" t="n">
        <v>80.59999999999999</v>
      </c>
      <c r="F35" t="inlineStr"/>
      <c r="G35" s="3" t="n">
        <v>99.7</v>
      </c>
      <c r="H35" t="inlineStr"/>
      <c r="I35" s="3" t="n">
        <v>93.5</v>
      </c>
      <c r="J35" t="inlineStr"/>
      <c r="K35" s="3" t="n">
        <v>80.8</v>
      </c>
      <c r="L35" t="inlineStr"/>
      <c r="M35" s="3" t="n">
        <v>108.6</v>
      </c>
      <c r="N35" s="3" t="n">
        <v>133.1</v>
      </c>
      <c r="O35" t="inlineStr"/>
      <c r="P35" s="3" t="n">
        <v>112.7</v>
      </c>
      <c r="Q35" t="inlineStr"/>
      <c r="R35" s="2" t="n">
        <v>6827140.33</v>
      </c>
      <c r="S35" t="inlineStr"/>
      <c r="T35" t="inlineStr"/>
      <c r="U35" t="inlineStr"/>
      <c r="V35" s="4">
        <f>IF(AND(ISNUMBER(R35),ISNUMBER(U35)),R35/U35*100,"")</f>
        <v/>
      </c>
    </row>
    <row r="36">
      <c r="A36" t="inlineStr">
        <is>
          <t>2018-Q3</t>
        </is>
      </c>
      <c r="B36" t="inlineStr"/>
      <c r="C36" t="inlineStr"/>
      <c r="D36" s="3" t="n">
        <v>76.59999999999999</v>
      </c>
      <c r="E36" s="3" t="n">
        <v>81</v>
      </c>
      <c r="F36" t="inlineStr"/>
      <c r="G36" s="3" t="n">
        <v>101.9</v>
      </c>
      <c r="H36" t="inlineStr"/>
      <c r="I36" s="3" t="n">
        <v>93.7</v>
      </c>
      <c r="J36" t="inlineStr"/>
      <c r="K36" s="3" t="n">
        <v>81.8</v>
      </c>
      <c r="L36" t="inlineStr"/>
      <c r="M36" s="3" t="n">
        <v>107.9</v>
      </c>
      <c r="N36" s="3" t="n">
        <v>134</v>
      </c>
      <c r="O36" t="inlineStr"/>
      <c r="P36" s="3" t="n">
        <v>113.5</v>
      </c>
      <c r="Q36" t="inlineStr"/>
      <c r="R36" s="2" t="n">
        <v>6985654</v>
      </c>
      <c r="S36" t="inlineStr"/>
      <c r="T36" t="inlineStr"/>
      <c r="U36" t="inlineStr"/>
      <c r="V36" s="4">
        <f>IF(AND(ISNUMBER(R36),ISNUMBER(U36)),R36/U36*100,"")</f>
        <v/>
      </c>
    </row>
    <row r="37">
      <c r="A37" t="inlineStr">
        <is>
          <t>2018-Q4</t>
        </is>
      </c>
      <c r="B37" s="3" t="n">
        <v>86.3</v>
      </c>
      <c r="C37" t="inlineStr"/>
      <c r="D37" s="3" t="n">
        <v>77.7</v>
      </c>
      <c r="E37" s="3" t="n">
        <v>83.09999999999999</v>
      </c>
      <c r="F37" t="inlineStr"/>
      <c r="G37" s="3" t="n">
        <v>101.9</v>
      </c>
      <c r="H37" t="inlineStr"/>
      <c r="I37" s="3" t="n">
        <v>92.5</v>
      </c>
      <c r="J37" t="inlineStr"/>
      <c r="K37" s="3" t="n">
        <v>82.7</v>
      </c>
      <c r="L37" t="inlineStr"/>
      <c r="M37" s="3" t="n">
        <v>107.6</v>
      </c>
      <c r="N37" s="3" t="n">
        <v>135.1</v>
      </c>
      <c r="O37" t="inlineStr"/>
      <c r="P37" s="3" t="n">
        <v>111.2</v>
      </c>
      <c r="Q37" t="inlineStr"/>
      <c r="R37" s="2" t="n">
        <v>7375669.11</v>
      </c>
      <c r="S37" s="2" t="n">
        <v>3341470</v>
      </c>
      <c r="T37" s="2" t="n">
        <v>4376510</v>
      </c>
      <c r="U37" s="2" t="n">
        <v>7717980</v>
      </c>
      <c r="V37" s="4">
        <f>IF(AND(ISNUMBER(R37),ISNUMBER(U37)),R37/U37*100,"")</f>
        <v/>
      </c>
    </row>
    <row r="38">
      <c r="A38" t="inlineStr">
        <is>
          <t>2019-Q1</t>
        </is>
      </c>
      <c r="B38" t="inlineStr"/>
      <c r="C38" t="inlineStr"/>
      <c r="D38" s="3" t="n">
        <v>78.2</v>
      </c>
      <c r="E38" s="3" t="n">
        <v>82.7</v>
      </c>
      <c r="F38" t="inlineStr"/>
      <c r="G38" s="3" t="n">
        <v>102.7</v>
      </c>
      <c r="H38" t="inlineStr"/>
      <c r="I38" s="3" t="n">
        <v>91.8</v>
      </c>
      <c r="J38" t="inlineStr"/>
      <c r="K38" s="3" t="n">
        <v>82.3</v>
      </c>
      <c r="L38" t="inlineStr"/>
      <c r="M38" s="3" t="n">
        <v>105.3</v>
      </c>
      <c r="N38" s="3" t="n">
        <v>131.6</v>
      </c>
      <c r="O38" t="inlineStr"/>
      <c r="P38" s="3" t="n">
        <v>111.9</v>
      </c>
      <c r="Q38" t="inlineStr"/>
      <c r="R38" s="2" t="n">
        <v>7437086</v>
      </c>
      <c r="S38" s="2" t="n">
        <v>3288286</v>
      </c>
      <c r="T38" s="2" t="n">
        <v>4598414</v>
      </c>
      <c r="U38" s="2" t="n">
        <v>7886700</v>
      </c>
      <c r="V38" s="4">
        <f>IF(AND(ISNUMBER(R38),ISNUMBER(U38)),R38/U38*100,"")</f>
        <v/>
      </c>
    </row>
    <row r="39">
      <c r="A39" t="inlineStr">
        <is>
          <t>2019-Q2</t>
        </is>
      </c>
      <c r="B39" s="3" t="n">
        <v>87</v>
      </c>
      <c r="C39" t="inlineStr"/>
      <c r="D39" s="3" t="n">
        <v>78.59999999999999</v>
      </c>
      <c r="E39" s="3" t="n">
        <v>81.59999999999999</v>
      </c>
      <c r="F39" t="inlineStr"/>
      <c r="G39" s="3" t="n">
        <v>104.1</v>
      </c>
      <c r="H39" t="inlineStr"/>
      <c r="I39" s="3" t="n">
        <v>91.8</v>
      </c>
      <c r="J39" t="inlineStr"/>
      <c r="K39" s="3" t="n">
        <v>83</v>
      </c>
      <c r="L39" t="inlineStr"/>
      <c r="M39" s="3" t="n">
        <v>106.4</v>
      </c>
      <c r="N39" s="3" t="n">
        <v>130.4</v>
      </c>
      <c r="O39" t="inlineStr"/>
      <c r="P39" s="3" t="n">
        <v>110.8</v>
      </c>
      <c r="Q39" t="inlineStr"/>
      <c r="R39" s="2" t="n">
        <v>7742083</v>
      </c>
      <c r="S39" s="2" t="n">
        <v>3509020</v>
      </c>
      <c r="T39" s="2" t="n">
        <v>4724696</v>
      </c>
      <c r="U39" s="2" t="n">
        <v>8233716</v>
      </c>
      <c r="V39" s="4">
        <f>IF(AND(ISNUMBER(R39),ISNUMBER(U39)),R39/U39*100,"")</f>
        <v/>
      </c>
    </row>
    <row r="40">
      <c r="A40" t="inlineStr">
        <is>
          <t>2019-Q3</t>
        </is>
      </c>
      <c r="B40" t="inlineStr"/>
      <c r="C40" t="inlineStr"/>
      <c r="D40" s="3" t="n">
        <v>79.40000000000001</v>
      </c>
      <c r="E40" s="3" t="n">
        <v>80.09999999999999</v>
      </c>
      <c r="F40" t="inlineStr"/>
      <c r="G40" s="3" t="n">
        <v>103.1</v>
      </c>
      <c r="H40" t="inlineStr"/>
      <c r="I40" s="3" t="n">
        <v>92.2</v>
      </c>
      <c r="J40" t="inlineStr"/>
      <c r="K40" s="3" t="n">
        <v>84.40000000000001</v>
      </c>
      <c r="L40" t="inlineStr"/>
      <c r="M40" s="3" t="n">
        <v>105</v>
      </c>
      <c r="N40" s="3" t="n">
        <v>131.1</v>
      </c>
      <c r="O40" t="inlineStr"/>
      <c r="P40" s="3" t="n">
        <v>112.1</v>
      </c>
      <c r="Q40" t="inlineStr"/>
      <c r="R40" s="2" t="n">
        <v>7888910</v>
      </c>
      <c r="S40" s="2" t="n">
        <v>3649853</v>
      </c>
      <c r="T40" s="2" t="n">
        <v>4771483</v>
      </c>
      <c r="U40" s="2" t="n">
        <v>8421336</v>
      </c>
      <c r="V40" s="4">
        <f>IF(AND(ISNUMBER(R40),ISNUMBER(U40)),R40/U40*100,"")</f>
        <v/>
      </c>
    </row>
    <row r="41">
      <c r="A41" t="inlineStr">
        <is>
          <t>2019-Q4</t>
        </is>
      </c>
      <c r="B41" s="3" t="n">
        <v>86.3</v>
      </c>
      <c r="C41" t="inlineStr"/>
      <c r="D41" s="3" t="n">
        <v>80</v>
      </c>
      <c r="E41" s="3" t="n">
        <v>80.09999999999999</v>
      </c>
      <c r="F41" t="inlineStr"/>
      <c r="G41" s="3" t="n">
        <v>103</v>
      </c>
      <c r="H41" t="inlineStr"/>
      <c r="I41" s="3" t="n">
        <v>92.90000000000001</v>
      </c>
      <c r="J41" t="inlineStr"/>
      <c r="K41" s="3" t="n">
        <v>85.2</v>
      </c>
      <c r="L41" t="inlineStr"/>
      <c r="M41" s="3" t="n">
        <v>104</v>
      </c>
      <c r="N41" s="3" t="n">
        <v>130.8</v>
      </c>
      <c r="O41" t="inlineStr"/>
      <c r="P41" s="3" t="n">
        <v>110.3</v>
      </c>
      <c r="Q41" t="inlineStr"/>
      <c r="R41" s="2" t="n">
        <v>8195393</v>
      </c>
      <c r="S41" s="2" t="n">
        <v>3962749</v>
      </c>
      <c r="T41" s="2" t="n">
        <v>4829900</v>
      </c>
      <c r="U41" s="2" t="n">
        <v>8792649</v>
      </c>
      <c r="V41" s="4">
        <f>IF(AND(ISNUMBER(R41),ISNUMBER(U41)),R41/U41*100,"")</f>
        <v/>
      </c>
    </row>
    <row r="42">
      <c r="A42" t="inlineStr">
        <is>
          <t>2020-Q1</t>
        </is>
      </c>
      <c r="B42" t="inlineStr"/>
      <c r="C42" t="inlineStr"/>
      <c r="D42" s="3" t="n">
        <v>80.40000000000001</v>
      </c>
      <c r="E42" s="3" t="n">
        <v>81</v>
      </c>
      <c r="F42" t="inlineStr"/>
      <c r="G42" s="3" t="n">
        <v>102.3</v>
      </c>
      <c r="H42" t="inlineStr"/>
      <c r="I42" s="3" t="n">
        <v>93.40000000000001</v>
      </c>
      <c r="J42" t="inlineStr"/>
      <c r="K42" s="3" t="n">
        <v>83.59999999999999</v>
      </c>
      <c r="L42" t="inlineStr"/>
      <c r="M42" s="3" t="n">
        <v>100.1</v>
      </c>
      <c r="N42" s="3" t="n">
        <v>128.7</v>
      </c>
      <c r="O42" t="inlineStr"/>
      <c r="P42" s="3" t="n">
        <v>109.2</v>
      </c>
      <c r="Q42" t="inlineStr"/>
      <c r="R42" s="2" t="n">
        <v>8302412</v>
      </c>
      <c r="S42" s="2" t="n">
        <v>3834718</v>
      </c>
      <c r="T42" s="2" t="n">
        <v>4986181</v>
      </c>
      <c r="U42" s="2" t="n">
        <v>8820899</v>
      </c>
      <c r="V42" s="4">
        <f>IF(AND(ISNUMBER(R42),ISNUMBER(U42)),R42/U42*100,"")</f>
        <v/>
      </c>
    </row>
    <row r="43">
      <c r="A43" t="inlineStr">
        <is>
          <t>2020-Q2</t>
        </is>
      </c>
      <c r="B43" s="3" t="n">
        <v>85.3</v>
      </c>
      <c r="C43" t="inlineStr"/>
      <c r="D43" s="3" t="n">
        <v>80.40000000000001</v>
      </c>
      <c r="E43" s="3" t="n">
        <v>77.40000000000001</v>
      </c>
      <c r="F43" t="inlineStr"/>
      <c r="G43" s="3" t="n">
        <v>100.2</v>
      </c>
      <c r="H43" t="inlineStr"/>
      <c r="I43" s="3" t="n">
        <v>91.59999999999999</v>
      </c>
      <c r="J43" t="inlineStr"/>
      <c r="K43" s="3" t="n">
        <v>80.40000000000001</v>
      </c>
      <c r="L43" t="inlineStr"/>
      <c r="M43" s="3" t="n">
        <v>95.2</v>
      </c>
      <c r="N43" s="3" t="n">
        <v>127</v>
      </c>
      <c r="O43" t="inlineStr"/>
      <c r="P43" s="3" t="n">
        <v>107.6</v>
      </c>
      <c r="Q43" t="inlineStr"/>
      <c r="R43" s="2" t="n">
        <v>8494504</v>
      </c>
      <c r="S43" s="2" t="n">
        <v>4134046</v>
      </c>
      <c r="T43" s="2" t="n">
        <v>5075951</v>
      </c>
      <c r="U43" s="2" t="n">
        <v>9209997</v>
      </c>
      <c r="V43" s="4">
        <f>IF(AND(ISNUMBER(R43),ISNUMBER(U43)),R43/U43*100,"")</f>
        <v/>
      </c>
    </row>
    <row r="44">
      <c r="A44" t="inlineStr">
        <is>
          <t>2020-Q3</t>
        </is>
      </c>
      <c r="B44" t="inlineStr"/>
      <c r="C44" t="inlineStr"/>
      <c r="D44" s="3" t="n">
        <v>80.90000000000001</v>
      </c>
      <c r="E44" s="3" t="n">
        <v>76.40000000000001</v>
      </c>
      <c r="F44" t="inlineStr"/>
      <c r="G44" s="3" t="n">
        <v>96.5</v>
      </c>
      <c r="H44" t="inlineStr"/>
      <c r="I44" s="3" t="n">
        <v>91.09999999999999</v>
      </c>
      <c r="J44" t="inlineStr"/>
      <c r="K44" s="3" t="n">
        <v>79.3</v>
      </c>
      <c r="L44" t="inlineStr"/>
      <c r="M44" s="3" t="n">
        <v>94.2</v>
      </c>
      <c r="N44" s="3" t="n">
        <v>129.8</v>
      </c>
      <c r="O44" t="inlineStr"/>
      <c r="P44" s="3" t="n">
        <v>107.3</v>
      </c>
      <c r="Q44" t="inlineStr"/>
      <c r="R44" s="2" t="n">
        <v>8694050</v>
      </c>
      <c r="S44" s="2" t="n">
        <v>4374606</v>
      </c>
      <c r="T44" s="2" t="n">
        <v>5108439</v>
      </c>
      <c r="U44" s="2" t="n">
        <v>9483045</v>
      </c>
      <c r="V44" s="4">
        <f>IF(AND(ISNUMBER(R44),ISNUMBER(U44)),R44/U44*100,"")</f>
        <v/>
      </c>
    </row>
    <row r="45">
      <c r="A45" t="inlineStr">
        <is>
          <t>2020-Q4</t>
        </is>
      </c>
      <c r="B45" s="3" t="n">
        <v>87.09999999999999</v>
      </c>
      <c r="C45" t="inlineStr"/>
      <c r="D45" s="3" t="n">
        <v>81.7</v>
      </c>
      <c r="E45" s="3" t="n">
        <v>76.8</v>
      </c>
      <c r="F45" t="inlineStr"/>
      <c r="G45" s="3" t="n">
        <v>96.90000000000001</v>
      </c>
      <c r="H45" t="inlineStr"/>
      <c r="I45" s="3" t="n">
        <v>91.40000000000001</v>
      </c>
      <c r="J45" t="inlineStr"/>
      <c r="K45" s="3" t="n">
        <v>78.2</v>
      </c>
      <c r="L45" t="inlineStr"/>
      <c r="M45" s="3" t="n">
        <v>93.40000000000001</v>
      </c>
      <c r="N45" s="3" t="n">
        <v>128.9</v>
      </c>
      <c r="O45" t="inlineStr"/>
      <c r="P45" s="3" t="n">
        <v>108.4</v>
      </c>
      <c r="Q45" t="inlineStr"/>
      <c r="R45" s="2" t="n">
        <v>9192566</v>
      </c>
      <c r="S45" s="2" t="n">
        <v>4877985</v>
      </c>
      <c r="T45" s="2" t="n">
        <v>5141874</v>
      </c>
      <c r="U45" s="2" t="n">
        <v>10019859</v>
      </c>
      <c r="V45" s="4">
        <f>IF(AND(ISNUMBER(R45),ISNUMBER(U45)),R45/U45*100,"")</f>
        <v/>
      </c>
    </row>
    <row r="46">
      <c r="A46" t="inlineStr">
        <is>
          <t>2021-Q1</t>
        </is>
      </c>
      <c r="B46" t="inlineStr"/>
      <c r="C46" t="inlineStr"/>
      <c r="D46" s="3" t="n">
        <v>82.09999999999999</v>
      </c>
      <c r="E46" s="3" t="n">
        <v>76.8</v>
      </c>
      <c r="F46" t="inlineStr"/>
      <c r="G46" s="3" t="n">
        <v>95.8</v>
      </c>
      <c r="H46" t="inlineStr"/>
      <c r="I46" s="3" t="n">
        <v>90.90000000000001</v>
      </c>
      <c r="J46" t="inlineStr"/>
      <c r="K46" s="3" t="n">
        <v>77</v>
      </c>
      <c r="L46" t="inlineStr"/>
      <c r="M46" s="3" t="n">
        <v>94.3</v>
      </c>
      <c r="N46" s="3" t="n">
        <v>128.3</v>
      </c>
      <c r="O46" t="inlineStr"/>
      <c r="P46" s="3" t="n">
        <v>110.1</v>
      </c>
      <c r="Q46" t="inlineStr"/>
      <c r="R46" s="2" t="n">
        <v>9463868</v>
      </c>
      <c r="S46" s="2" t="n">
        <v>4919048</v>
      </c>
      <c r="T46" s="2" t="n">
        <v>5250339</v>
      </c>
      <c r="U46" s="2" t="n">
        <v>10169387</v>
      </c>
      <c r="V46" s="4">
        <f>IF(AND(ISNUMBER(R46),ISNUMBER(U46)),R46/U46*100,"")</f>
        <v/>
      </c>
    </row>
    <row r="47">
      <c r="A47" t="inlineStr">
        <is>
          <t>2021-Q2</t>
        </is>
      </c>
      <c r="B47" s="3" t="n">
        <v>89.40000000000001</v>
      </c>
      <c r="C47" t="inlineStr"/>
      <c r="D47" s="3" t="n">
        <v>82.2</v>
      </c>
      <c r="E47" s="3" t="n">
        <v>75.5</v>
      </c>
      <c r="F47" t="inlineStr"/>
      <c r="G47" s="3" t="n">
        <v>91.90000000000001</v>
      </c>
      <c r="H47" t="inlineStr"/>
      <c r="I47" s="3" t="n">
        <v>90.8</v>
      </c>
      <c r="J47" t="inlineStr"/>
      <c r="K47" s="3" t="n">
        <v>76.3</v>
      </c>
      <c r="L47" t="inlineStr"/>
      <c r="M47" s="3" t="n">
        <v>93.8</v>
      </c>
      <c r="N47" s="3" t="n">
        <v>127.8</v>
      </c>
      <c r="O47" t="inlineStr"/>
      <c r="P47" s="3" t="n">
        <v>110.8</v>
      </c>
      <c r="Q47" t="inlineStr"/>
      <c r="R47" s="2" t="n">
        <v>9784937</v>
      </c>
      <c r="S47" s="2" t="n">
        <v>5111176</v>
      </c>
      <c r="T47" s="2" t="n">
        <v>5293084</v>
      </c>
      <c r="U47" s="2" t="n">
        <v>10404260</v>
      </c>
      <c r="V47" s="4">
        <f>IF(AND(ISNUMBER(R47),ISNUMBER(U47)),R47/U47*100,"")</f>
        <v/>
      </c>
    </row>
    <row r="48">
      <c r="A48" t="inlineStr">
        <is>
          <t>2021-Q3</t>
        </is>
      </c>
      <c r="B48" t="inlineStr"/>
      <c r="C48" t="inlineStr"/>
      <c r="D48" s="3" t="n">
        <v>83</v>
      </c>
      <c r="E48" s="3" t="n">
        <v>75.2</v>
      </c>
      <c r="F48" t="inlineStr"/>
      <c r="G48" s="3" t="n">
        <v>90.90000000000001</v>
      </c>
      <c r="H48" t="inlineStr"/>
      <c r="I48" s="3" t="n">
        <v>90.2</v>
      </c>
      <c r="J48" t="inlineStr"/>
      <c r="K48" s="3" t="n">
        <v>75.5</v>
      </c>
      <c r="L48" t="inlineStr"/>
      <c r="M48" s="3" t="n">
        <v>84.09999999999999</v>
      </c>
      <c r="N48" s="3" t="n">
        <v>127.8</v>
      </c>
      <c r="O48" t="inlineStr"/>
      <c r="P48" s="3" t="n">
        <v>109.6</v>
      </c>
      <c r="Q48" t="inlineStr"/>
      <c r="R48" s="2" t="n">
        <v>9917032</v>
      </c>
      <c r="S48" s="2" t="n">
        <v>5258000</v>
      </c>
      <c r="T48" s="2" t="n">
        <v>5291000</v>
      </c>
      <c r="U48" s="2" t="n">
        <v>10549000</v>
      </c>
      <c r="V48" s="4">
        <f>IF(AND(ISNUMBER(R48),ISNUMBER(U48)),R48/U48*100,"")</f>
        <v/>
      </c>
    </row>
    <row r="49">
      <c r="A49" t="inlineStr">
        <is>
          <t>2021-Q4</t>
        </is>
      </c>
      <c r="B49" s="3" t="n">
        <v>90.3</v>
      </c>
      <c r="C49" t="inlineStr"/>
      <c r="D49" s="3" t="n">
        <v>83.2</v>
      </c>
      <c r="E49" s="3" t="n">
        <v>77.3</v>
      </c>
      <c r="F49" t="inlineStr"/>
      <c r="G49" s="3" t="n">
        <v>90.40000000000001</v>
      </c>
      <c r="H49" t="inlineStr"/>
      <c r="I49" s="3" t="n">
        <v>90.3</v>
      </c>
      <c r="J49" t="inlineStr"/>
      <c r="K49" s="3" t="n">
        <v>74.5</v>
      </c>
      <c r="L49" t="inlineStr"/>
      <c r="M49" s="3" t="n">
        <v>82.8</v>
      </c>
      <c r="N49" s="3" t="n">
        <v>127.9</v>
      </c>
      <c r="O49" t="inlineStr"/>
      <c r="P49" s="3" t="n">
        <v>109.3</v>
      </c>
      <c r="Q49" t="inlineStr"/>
      <c r="R49" s="2" t="n">
        <v>10444078</v>
      </c>
      <c r="S49" s="2" t="n">
        <v>5645352</v>
      </c>
      <c r="T49" s="2" t="n">
        <v>5300497</v>
      </c>
      <c r="U49" s="2" t="n">
        <v>10945849</v>
      </c>
      <c r="V49" s="4">
        <f>IF(AND(ISNUMBER(R49),ISNUMBER(U49)),R49/U49*100,"")</f>
        <v/>
      </c>
    </row>
    <row r="50">
      <c r="A50" t="inlineStr">
        <is>
          <t>2022-Q1</t>
        </is>
      </c>
      <c r="B50" t="inlineStr"/>
      <c r="C50" t="inlineStr"/>
      <c r="D50" s="3" t="n">
        <v>82.90000000000001</v>
      </c>
      <c r="E50" s="3" t="n">
        <v>77.7</v>
      </c>
      <c r="F50" t="inlineStr"/>
      <c r="G50" s="3" t="n">
        <v>92.5</v>
      </c>
      <c r="H50" t="inlineStr"/>
      <c r="I50" s="3" t="n">
        <v>90.90000000000001</v>
      </c>
      <c r="J50" t="inlineStr"/>
      <c r="K50" s="3" t="n">
        <v>74.3</v>
      </c>
      <c r="L50" t="inlineStr"/>
      <c r="M50" s="3" t="n">
        <v>80.8</v>
      </c>
      <c r="N50" s="3" t="n">
        <v>126.8</v>
      </c>
      <c r="O50" t="inlineStr"/>
      <c r="P50" s="3" t="n">
        <v>109.8</v>
      </c>
      <c r="Q50" t="inlineStr"/>
      <c r="R50" s="2" t="n">
        <v>11067407.98</v>
      </c>
      <c r="S50" s="2" t="n">
        <v>5864824</v>
      </c>
      <c r="T50" s="2" t="n">
        <v>5474491</v>
      </c>
      <c r="U50" s="2" t="n">
        <v>11339315</v>
      </c>
      <c r="V50" s="4">
        <f>IF(AND(ISNUMBER(R50),ISNUMBER(U50)),R50/U50*100,"")</f>
        <v/>
      </c>
    </row>
    <row r="51">
      <c r="A51" t="inlineStr">
        <is>
          <t>2022-Q2</t>
        </is>
      </c>
      <c r="B51" s="3" t="n">
        <v>92.5</v>
      </c>
      <c r="C51" t="inlineStr"/>
      <c r="D51" s="3" t="n">
        <v>82.40000000000001</v>
      </c>
      <c r="E51" s="3" t="n">
        <v>79.5</v>
      </c>
      <c r="F51" t="inlineStr"/>
      <c r="G51" s="3" t="n">
        <v>91.90000000000001</v>
      </c>
      <c r="H51" t="inlineStr"/>
      <c r="I51" s="3" t="n">
        <v>90.90000000000001</v>
      </c>
      <c r="J51" t="inlineStr"/>
      <c r="K51" s="3" t="n">
        <v>75.09999999999999</v>
      </c>
      <c r="L51" t="inlineStr"/>
      <c r="M51" s="3" t="n">
        <v>79.40000000000001</v>
      </c>
      <c r="N51" s="3" t="n">
        <v>125.3</v>
      </c>
      <c r="O51" t="inlineStr"/>
      <c r="P51" s="3" t="n">
        <v>109.8</v>
      </c>
      <c r="Q51" t="inlineStr"/>
      <c r="R51" s="2" t="n">
        <v>11428653.23</v>
      </c>
      <c r="S51" s="2" t="n">
        <v>5848963</v>
      </c>
      <c r="T51" s="2" t="n">
        <v>5619445</v>
      </c>
      <c r="U51" s="2" t="n">
        <v>11468408</v>
      </c>
      <c r="V51" s="4">
        <f>IF(AND(ISNUMBER(R51),ISNUMBER(U51)),R51/U51*100,"")</f>
        <v/>
      </c>
    </row>
    <row r="52">
      <c r="A52" t="inlineStr">
        <is>
          <t>2022-Q3</t>
        </is>
      </c>
      <c r="B52" t="inlineStr"/>
      <c r="C52" t="inlineStr"/>
      <c r="D52" s="3" t="n">
        <v>82.90000000000001</v>
      </c>
      <c r="E52" s="3" t="n">
        <v>80.5</v>
      </c>
      <c r="F52" t="inlineStr"/>
      <c r="G52" s="3" t="n">
        <v>94</v>
      </c>
      <c r="H52" t="inlineStr"/>
      <c r="I52" s="3" t="n">
        <v>89.8</v>
      </c>
      <c r="J52" t="inlineStr"/>
      <c r="K52" s="3" t="n">
        <v>75.2</v>
      </c>
      <c r="L52" t="inlineStr"/>
      <c r="M52" s="3" t="n">
        <v>77.40000000000001</v>
      </c>
      <c r="N52" s="3" t="n">
        <v>126</v>
      </c>
      <c r="O52" t="inlineStr"/>
      <c r="P52" s="3" t="n">
        <v>108.3</v>
      </c>
      <c r="Q52" t="inlineStr"/>
      <c r="R52" s="2" t="n">
        <v>11597310.32</v>
      </c>
      <c r="S52" s="2" t="n">
        <v>5782430</v>
      </c>
      <c r="T52" s="2" t="n">
        <v>5638437</v>
      </c>
      <c r="U52" s="2" t="n">
        <v>11420867</v>
      </c>
      <c r="V52" s="4">
        <f>IF(AND(ISNUMBER(R52),ISNUMBER(U52)),R52/U52*100,"")</f>
        <v/>
      </c>
    </row>
    <row r="53">
      <c r="A53" t="inlineStr">
        <is>
          <t>2022-Q4</t>
        </is>
      </c>
      <c r="B53" s="3" t="n">
        <v>94.2</v>
      </c>
      <c r="C53" t="inlineStr"/>
      <c r="D53" s="3" t="n">
        <v>82.90000000000001</v>
      </c>
      <c r="E53" s="3" t="n">
        <v>81.59999999999999</v>
      </c>
      <c r="F53" t="inlineStr"/>
      <c r="G53" s="3" t="n">
        <v>90.90000000000001</v>
      </c>
      <c r="H53" t="inlineStr"/>
      <c r="I53" s="3" t="n">
        <v>89.90000000000001</v>
      </c>
      <c r="J53" t="inlineStr"/>
      <c r="K53" s="3" t="n">
        <v>74.09999999999999</v>
      </c>
      <c r="L53" t="inlineStr"/>
      <c r="M53" s="3" t="n">
        <v>75.2</v>
      </c>
      <c r="N53" s="3" t="n">
        <v>126</v>
      </c>
      <c r="O53" t="inlineStr"/>
      <c r="P53" s="3" t="n">
        <v>108</v>
      </c>
      <c r="Q53" t="inlineStr"/>
      <c r="R53" s="2" t="n">
        <v>11924433.61</v>
      </c>
      <c r="S53" s="2" t="n">
        <v>5953705</v>
      </c>
      <c r="T53" s="2" t="n">
        <v>5865757</v>
      </c>
      <c r="U53" s="2" t="n">
        <v>11819462</v>
      </c>
      <c r="V53" s="4">
        <f>IF(AND(ISNUMBER(R53),ISNUMBER(U53)),R53/U53*100,"")</f>
        <v/>
      </c>
    </row>
    <row r="54">
      <c r="A54" t="inlineStr">
        <is>
          <t>2023-Q1</t>
        </is>
      </c>
      <c r="B54" t="inlineStr"/>
      <c r="C54" t="inlineStr"/>
      <c r="D54" s="3" t="n">
        <v>82.3</v>
      </c>
      <c r="E54" s="3" t="n">
        <v>81.09999999999999</v>
      </c>
      <c r="F54" t="inlineStr"/>
      <c r="G54" s="3" t="n">
        <v>92.40000000000001</v>
      </c>
      <c r="H54" t="inlineStr"/>
      <c r="I54" s="3" t="n">
        <v>89.5</v>
      </c>
      <c r="J54" t="inlineStr"/>
      <c r="K54" s="3" t="n">
        <v>73.2</v>
      </c>
      <c r="L54" t="inlineStr"/>
      <c r="M54" s="3" t="n">
        <v>72.5</v>
      </c>
      <c r="N54" s="3" t="n">
        <v>126.9</v>
      </c>
      <c r="O54" t="inlineStr"/>
      <c r="P54" s="3" t="n">
        <v>109.3</v>
      </c>
      <c r="Q54" t="inlineStr"/>
      <c r="R54" s="2" t="n">
        <v>12231723.64</v>
      </c>
      <c r="S54" s="2" t="n">
        <v>5663747</v>
      </c>
      <c r="T54" s="2" t="n">
        <v>6280815</v>
      </c>
      <c r="U54" s="2" t="n">
        <v>11944562</v>
      </c>
      <c r="V54" s="4">
        <f>IF(AND(ISNUMBER(R54),ISNUMBER(U54)),R54/U54*100,"")</f>
        <v/>
      </c>
    </row>
    <row r="55">
      <c r="A55" t="inlineStr">
        <is>
          <t>2023-Q2</t>
        </is>
      </c>
      <c r="B55" s="3" t="n">
        <v>97.09999999999999</v>
      </c>
      <c r="C55" t="inlineStr"/>
      <c r="D55" s="3" t="n">
        <v>82.8</v>
      </c>
      <c r="E55" s="3" t="n">
        <v>81.2</v>
      </c>
      <c r="F55" t="inlineStr"/>
      <c r="G55" s="3" t="n">
        <v>95.3</v>
      </c>
      <c r="H55" t="inlineStr"/>
      <c r="I55" s="3" t="n">
        <v>89.90000000000001</v>
      </c>
      <c r="J55" t="inlineStr"/>
      <c r="K55" s="3" t="n">
        <v>75.2</v>
      </c>
      <c r="L55" t="inlineStr"/>
      <c r="M55" s="3" t="n">
        <v>72.8</v>
      </c>
      <c r="N55" s="3" t="n">
        <v>126.6</v>
      </c>
      <c r="O55" t="inlineStr"/>
      <c r="P55" s="3" t="n">
        <v>109.8</v>
      </c>
      <c r="Q55" t="inlineStr"/>
      <c r="R55" s="2" t="n">
        <v>12487912.51</v>
      </c>
      <c r="S55" s="2" t="n">
        <v>5983924</v>
      </c>
      <c r="T55" s="2" t="n">
        <v>6382886</v>
      </c>
      <c r="U55" s="2" t="n">
        <v>12366810</v>
      </c>
      <c r="V55" s="4">
        <f>IF(AND(ISNUMBER(R55),ISNUMBER(U55)),R55/U55*100,"")</f>
        <v/>
      </c>
    </row>
    <row r="56">
      <c r="A56" t="inlineStr">
        <is>
          <t>2023-Q3</t>
        </is>
      </c>
      <c r="B56" s="3" t="n">
        <v>96.90000000000001</v>
      </c>
      <c r="C56" t="inlineStr"/>
      <c r="D56" s="3" t="n">
        <v>83.59999999999999</v>
      </c>
      <c r="E56" s="3" t="n">
        <v>84.5</v>
      </c>
      <c r="F56" t="inlineStr"/>
      <c r="G56" s="3" t="n">
        <v>95.8</v>
      </c>
      <c r="H56" t="inlineStr"/>
      <c r="I56" s="3" t="n">
        <v>90.59999999999999</v>
      </c>
      <c r="J56" t="inlineStr"/>
      <c r="K56" s="3" t="n">
        <v>75.2</v>
      </c>
      <c r="L56" t="inlineStr"/>
      <c r="M56" s="3" t="n">
        <v>70.59999999999999</v>
      </c>
      <c r="N56" s="3" t="n">
        <v>125.9</v>
      </c>
      <c r="O56" t="inlineStr"/>
      <c r="P56" s="3" t="n">
        <v>108.8</v>
      </c>
      <c r="Q56" t="inlineStr"/>
      <c r="R56" s="2" t="n">
        <v>12754669.12</v>
      </c>
      <c r="S56" s="2" t="n">
        <v>6230561</v>
      </c>
      <c r="T56" s="2" t="n">
        <v>6449251</v>
      </c>
      <c r="U56" s="2" t="n">
        <v>12679812</v>
      </c>
      <c r="V56" s="4">
        <f>IF(AND(ISNUMBER(R56),ISNUMBER(U56)),R56/U56*100,"")</f>
        <v/>
      </c>
    </row>
    <row r="57">
      <c r="A57" t="inlineStr">
        <is>
          <t>2023-Q4</t>
        </is>
      </c>
      <c r="B57" s="3" t="n">
        <v>98</v>
      </c>
      <c r="C57" t="inlineStr"/>
      <c r="D57" s="3" t="n">
        <v>83.59999999999999</v>
      </c>
      <c r="E57" s="3" t="n">
        <v>86.2</v>
      </c>
      <c r="F57" t="inlineStr"/>
      <c r="G57" s="3" t="n">
        <v>94.09999999999999</v>
      </c>
      <c r="H57" t="inlineStr"/>
      <c r="I57" s="3" t="n">
        <v>90</v>
      </c>
      <c r="J57" t="inlineStr"/>
      <c r="K57" s="3" t="n">
        <v>76.5</v>
      </c>
      <c r="L57" t="inlineStr"/>
      <c r="M57" s="3" t="n">
        <v>70</v>
      </c>
      <c r="N57" s="3" t="n">
        <v>126</v>
      </c>
      <c r="O57" t="inlineStr"/>
      <c r="P57" s="3" t="n">
        <v>108.3</v>
      </c>
      <c r="Q57" t="inlineStr"/>
      <c r="R57" s="2" t="n">
        <v>13568977.92</v>
      </c>
      <c r="S57" s="2" t="n">
        <v>6841733</v>
      </c>
      <c r="T57" s="2" t="n">
        <v>6532741</v>
      </c>
      <c r="U57" s="2" t="n">
        <v>13374474</v>
      </c>
      <c r="V57" s="4">
        <f>IF(AND(ISNUMBER(R57),ISNUMBER(U57)),R57/U57*100,"")</f>
        <v/>
      </c>
    </row>
    <row r="58">
      <c r="A58" t="inlineStr">
        <is>
          <t>2024-Q1</t>
        </is>
      </c>
      <c r="B58" s="3" t="n">
        <v>99.8</v>
      </c>
      <c r="C58" t="inlineStr"/>
      <c r="D58" s="3" t="n">
        <v>83.5</v>
      </c>
      <c r="E58" s="3" t="n">
        <v>84.3</v>
      </c>
      <c r="F58" t="inlineStr"/>
      <c r="G58" s="3" t="n">
        <v>94.40000000000001</v>
      </c>
      <c r="H58" t="inlineStr"/>
      <c r="I58" s="3" t="n">
        <v>90.3</v>
      </c>
      <c r="J58" t="inlineStr"/>
      <c r="K58" s="3" t="n">
        <v>75.7</v>
      </c>
      <c r="L58" t="inlineStr"/>
      <c r="M58" s="3" t="n">
        <v>69.2</v>
      </c>
      <c r="N58" s="3" t="n">
        <v>124.6</v>
      </c>
      <c r="O58" s="5" t="n">
        <v>95.40000000000001</v>
      </c>
      <c r="P58" s="3" t="n">
        <v>105.6</v>
      </c>
      <c r="Q58" t="inlineStr"/>
      <c r="R58" s="2" t="n">
        <v>13761415.87</v>
      </c>
      <c r="S58" s="2" t="n">
        <v>6627054</v>
      </c>
      <c r="T58" s="2" t="n">
        <v>6676154</v>
      </c>
      <c r="U58" s="2" t="n">
        <v>13303208</v>
      </c>
      <c r="V58" s="4">
        <f>IF(AND(ISNUMBER(R58),ISNUMBER(U58)),R58/U58*100,"")</f>
        <v/>
      </c>
    </row>
    <row r="59">
      <c r="A59" t="inlineStr">
        <is>
          <t>2024-Q2</t>
        </is>
      </c>
      <c r="B59" s="3" t="n">
        <v>101.6</v>
      </c>
      <c r="C59" t="inlineStr"/>
      <c r="D59" s="3" t="n">
        <v>84.59999999999999</v>
      </c>
      <c r="E59" s="3" t="n">
        <v>85.40000000000001</v>
      </c>
      <c r="F59" t="inlineStr"/>
      <c r="G59" s="3" t="n">
        <v>94.5</v>
      </c>
      <c r="H59" t="inlineStr"/>
      <c r="I59" s="3" t="n">
        <v>91.5</v>
      </c>
      <c r="J59" t="inlineStr"/>
      <c r="K59" s="3" t="n">
        <v>76.2</v>
      </c>
      <c r="L59" t="inlineStr"/>
      <c r="M59" s="3" t="n">
        <v>68.7</v>
      </c>
      <c r="N59" s="3" t="n">
        <v>126.3</v>
      </c>
      <c r="O59" t="inlineStr"/>
      <c r="P59" s="3" t="n">
        <v>106.7</v>
      </c>
      <c r="Q59" t="inlineStr"/>
      <c r="R59" s="2" t="n">
        <v>14396261.98</v>
      </c>
      <c r="S59" s="2" t="n">
        <v>6907602</v>
      </c>
      <c r="T59" s="2" t="n">
        <v>6817239</v>
      </c>
      <c r="U59" s="2" t="n">
        <v>13724841</v>
      </c>
      <c r="V59" s="4">
        <f>IF(AND(ISNUMBER(R59),ISNUMBER(U59)),R59/U59*100,"")</f>
        <v/>
      </c>
    </row>
    <row r="60">
      <c r="A60" t="inlineStr">
        <is>
          <t>2024-Q3</t>
        </is>
      </c>
      <c r="B60" s="3" t="n">
        <v>102.2</v>
      </c>
      <c r="C60" t="inlineStr"/>
      <c r="D60" s="3" t="n">
        <v>84</v>
      </c>
      <c r="E60" s="3" t="n">
        <v>85</v>
      </c>
      <c r="F60" t="inlineStr"/>
      <c r="G60" s="3" t="n">
        <v>95.2</v>
      </c>
      <c r="H60" t="inlineStr"/>
      <c r="I60" s="3" t="n">
        <v>92.40000000000001</v>
      </c>
      <c r="J60" t="inlineStr"/>
      <c r="K60" s="3" t="n">
        <v>79.7</v>
      </c>
      <c r="L60" t="inlineStr"/>
      <c r="M60" s="3" t="n">
        <v>68.90000000000001</v>
      </c>
      <c r="N60" t="inlineStr"/>
      <c r="O60" t="inlineStr"/>
      <c r="P60" s="3" t="n">
        <v>106.3</v>
      </c>
      <c r="Q60" t="inlineStr"/>
      <c r="R60" s="2" t="n">
        <v>14805563.37</v>
      </c>
      <c r="S60" s="2" t="n">
        <v>7076456</v>
      </c>
      <c r="T60" s="2" t="n">
        <v>6957686</v>
      </c>
      <c r="U60" s="2" t="n">
        <v>14034142</v>
      </c>
      <c r="V60" s="4">
        <f>IF(AND(ISNUMBER(R60),ISNUMBER(U60)),R60/U60*100,"")</f>
        <v/>
      </c>
    </row>
    <row r="61">
      <c r="A61" t="inlineStr">
        <is>
          <t>2024-Q4</t>
        </is>
      </c>
      <c r="B61" s="3" t="n">
        <v>102.8</v>
      </c>
      <c r="C61" t="inlineStr"/>
      <c r="D61" s="3" t="n">
        <v>84.2</v>
      </c>
      <c r="E61" s="3" t="n">
        <v>86.2</v>
      </c>
      <c r="F61" t="inlineStr"/>
      <c r="G61" s="3" t="n">
        <v>96.5</v>
      </c>
      <c r="H61" t="inlineStr"/>
      <c r="I61" s="3" t="n">
        <v>92.40000000000001</v>
      </c>
      <c r="J61" t="inlineStr"/>
      <c r="K61" s="3" t="n">
        <v>79.7</v>
      </c>
      <c r="L61" t="inlineStr"/>
      <c r="M61" s="3" t="n">
        <v>68.40000000000001</v>
      </c>
      <c r="N61" t="inlineStr"/>
      <c r="O61" t="inlineStr"/>
      <c r="P61" s="3" t="n">
        <v>106.4</v>
      </c>
      <c r="Q61" t="inlineStr"/>
      <c r="R61" s="2" t="n">
        <v>15616213.73</v>
      </c>
      <c r="S61" s="2" t="n">
        <v>7667208</v>
      </c>
      <c r="T61" s="2" t="n">
        <v>7065062</v>
      </c>
      <c r="U61" s="2" t="n">
        <v>14732270</v>
      </c>
      <c r="V61" s="4">
        <f>IF(AND(ISNUMBER(R61),ISNUMBER(U61)),R61/U61*100,"")</f>
        <v/>
      </c>
    </row>
    <row r="62">
      <c r="A62" t="inlineStr">
        <is>
          <t>2025-Q1</t>
        </is>
      </c>
      <c r="B62" s="3" t="n">
        <v>105.4</v>
      </c>
      <c r="C62" t="inlineStr"/>
      <c r="D62" s="3" t="n">
        <v>83.59999999999999</v>
      </c>
      <c r="E62" s="3" t="n">
        <v>85.3</v>
      </c>
      <c r="F62" t="inlineStr"/>
      <c r="G62" s="3" t="n">
        <v>96.09999999999999</v>
      </c>
      <c r="H62" t="inlineStr"/>
      <c r="I62" s="3" t="n">
        <v>92.7</v>
      </c>
      <c r="J62" t="inlineStr"/>
      <c r="K62" s="3" t="n">
        <v>81.8</v>
      </c>
      <c r="L62" t="inlineStr"/>
      <c r="M62" s="3" t="n">
        <v>67.8</v>
      </c>
      <c r="N62" t="inlineStr"/>
      <c r="O62" s="5" t="n">
        <v>96.59999999999999</v>
      </c>
      <c r="P62" s="3" t="n">
        <v>104.9</v>
      </c>
      <c r="Q62" t="inlineStr"/>
      <c r="R62" s="2" t="n">
        <v>16226458.02</v>
      </c>
      <c r="S62" s="2" t="n">
        <v>7520233</v>
      </c>
      <c r="T62" s="2" t="n">
        <v>7469971</v>
      </c>
      <c r="U62" s="2" t="n">
        <v>14990204</v>
      </c>
      <c r="V62" s="4">
        <f>IF(AND(ISNUMBER(R62),ISNUMBER(U62)),R62/U62*100,"")</f>
        <v/>
      </c>
    </row>
    <row r="63">
      <c r="A63" t="inlineStr">
        <is>
          <t>2025-Q2</t>
        </is>
      </c>
      <c r="B63" s="3" t="n">
        <v>103.7</v>
      </c>
      <c r="C63" t="inlineStr"/>
      <c r="D63" s="3" t="n">
        <v>83.2</v>
      </c>
      <c r="E63" s="3" t="n">
        <v>85.3</v>
      </c>
      <c r="F63" t="inlineStr"/>
      <c r="G63" s="3" t="n">
        <v>94.8</v>
      </c>
      <c r="H63" t="inlineStr"/>
      <c r="I63" s="3" t="n">
        <v>93.5</v>
      </c>
      <c r="J63" t="inlineStr"/>
      <c r="K63" s="3" t="n">
        <v>80.40000000000001</v>
      </c>
      <c r="L63" s="5" t="n">
        <v>76.84</v>
      </c>
      <c r="M63" s="3" t="n">
        <v>67.40000000000001</v>
      </c>
      <c r="N63" t="inlineStr"/>
      <c r="O63" s="5" t="n">
        <v>97</v>
      </c>
      <c r="P63" s="3" t="n">
        <v>105.8</v>
      </c>
      <c r="Q63" t="inlineStr"/>
      <c r="R63" s="2" t="n">
        <v>17163138.4</v>
      </c>
      <c r="S63" s="2" t="n">
        <v>8104341</v>
      </c>
      <c r="T63" s="2" t="n">
        <v>7694546</v>
      </c>
      <c r="U63" s="2" t="n">
        <v>15798887</v>
      </c>
      <c r="V63" s="4">
        <f>IF(AND(ISNUMBER(R63),ISNUMBER(U63)),R63/U63*100,"")</f>
        <v/>
      </c>
    </row>
    <row r="64">
      <c r="A64" t="inlineStr">
        <is>
          <t>2025-Q3</t>
        </is>
      </c>
      <c r="B64" s="3" t="n">
        <v>107.3</v>
      </c>
      <c r="C64" t="inlineStr"/>
      <c r="D64" s="3" t="n">
        <v>82.59999999999999</v>
      </c>
      <c r="E64" s="3" t="n">
        <v>86.3</v>
      </c>
      <c r="F64" t="inlineStr"/>
      <c r="G64" s="3" t="n">
        <v>92</v>
      </c>
      <c r="H64" t="inlineStr"/>
      <c r="I64" s="3" t="n">
        <v>92.90000000000001</v>
      </c>
      <c r="J64" s="5" t="n">
        <v>89.40000000000001</v>
      </c>
      <c r="K64" s="3" t="n">
        <v>81.3</v>
      </c>
      <c r="L64" t="inlineStr"/>
      <c r="M64" s="3" t="n">
        <v>66.8</v>
      </c>
      <c r="N64" t="inlineStr"/>
      <c r="O64" s="5" t="n">
        <v>96.3</v>
      </c>
      <c r="P64" s="3" t="n">
        <v>103.5</v>
      </c>
      <c r="Q64" t="inlineStr"/>
      <c r="R64" s="2" t="n">
        <v>17780620.952978</v>
      </c>
      <c r="S64" s="2" t="n">
        <v>8350231</v>
      </c>
      <c r="T64" s="2" t="n">
        <v>7832399</v>
      </c>
      <c r="U64" s="2" t="n">
        <v>16182630</v>
      </c>
      <c r="V64" s="4">
        <f>IF(AND(ISNUMBER(R64),ISNUMBER(U64)),R64/U64*100,"")</f>
        <v/>
      </c>
    </row>
    <row r="65">
      <c r="A65" t="inlineStr">
        <is>
          <t>2025-Q4</t>
        </is>
      </c>
      <c r="B65" s="3" t="n">
        <v>107.1</v>
      </c>
      <c r="C65" s="5" t="n">
        <v>110</v>
      </c>
      <c r="D65" s="3" t="n">
        <v>82</v>
      </c>
      <c r="E65" s="3" t="n">
        <v>88.09999999999999</v>
      </c>
      <c r="F65" s="5" t="n">
        <v>81.75</v>
      </c>
      <c r="G65" s="3" t="n">
        <v>93.2</v>
      </c>
      <c r="H65" s="5" t="n">
        <v>85.34999999999999</v>
      </c>
      <c r="I65" s="3" t="n">
        <v>93.2</v>
      </c>
      <c r="J65" t="inlineStr"/>
      <c r="K65" s="3" t="n">
        <v>82.40000000000001</v>
      </c>
      <c r="L65" s="5" t="n">
        <v>75.89</v>
      </c>
      <c r="M65" s="3" t="n">
        <v>67.7</v>
      </c>
      <c r="N65" t="inlineStr"/>
      <c r="O65" s="5" t="n">
        <v>96.2</v>
      </c>
      <c r="P65" s="3" t="n">
        <v>102.9</v>
      </c>
      <c r="Q65" t="inlineStr"/>
      <c r="R65" s="2" t="n">
        <v>18815882</v>
      </c>
      <c r="S65" s="2" t="n">
        <v>6180504</v>
      </c>
      <c r="T65" s="2" t="n">
        <v>10335383</v>
      </c>
      <c r="U65" s="2" t="n">
        <v>16515887</v>
      </c>
      <c r="V65" s="4">
        <f>IF(AND(ISNUMBER(R65),ISNUMBER(U65)),R65/U65*100,"")</f>
        <v/>
      </c>
    </row>
    <row r="66">
      <c r="A66" t="inlineStr">
        <is>
          <t>2026-Q1</t>
        </is>
      </c>
      <c r="B66" t="inlineStr"/>
      <c r="C66" s="5" t="n">
        <v>111.9</v>
      </c>
      <c r="D66" s="5" t="n">
        <v>81.23999999999999</v>
      </c>
      <c r="E66" s="3" t="n">
        <v>87.90000000000001</v>
      </c>
      <c r="F66" s="5" t="n">
        <v>82.2</v>
      </c>
      <c r="G66" s="3" t="n">
        <v>92.40000000000001</v>
      </c>
      <c r="H66" s="5" t="n">
        <v>84.64</v>
      </c>
      <c r="I66" s="3" t="n">
        <v>93.3</v>
      </c>
      <c r="J66" t="inlineStr"/>
      <c r="K66" s="3" t="n">
        <v>81.7</v>
      </c>
      <c r="L66" t="inlineStr"/>
      <c r="M66" s="3" t="n">
        <v>67.2</v>
      </c>
      <c r="N66" t="inlineStr"/>
      <c r="O66" s="5" t="n">
        <v>96</v>
      </c>
      <c r="P66" s="3" t="n">
        <v>101</v>
      </c>
      <c r="Q66" s="5" t="n">
        <v>81.7</v>
      </c>
      <c r="R66" s="2" t="n">
        <v>19186824</v>
      </c>
      <c r="S66" s="2" t="n">
        <v>6014229</v>
      </c>
      <c r="T66" s="2" t="n">
        <v>10561351</v>
      </c>
      <c r="U66" s="2" t="n">
        <v>16575580</v>
      </c>
      <c r="V66" s="4">
        <f>IF(AND(ISNUMBER(R66),ISNUMBER(U66)),R66/U66*100,"")</f>
        <v/>
      </c>
    </row>
    <row r="67">
      <c r="A67" t="inlineStr">
        <is>
          <t>2026-Q2</t>
        </is>
      </c>
      <c r="B67" s="5" t="n">
        <v>113</v>
      </c>
      <c r="C67" t="inlineStr"/>
      <c r="D67" s="5" t="n">
        <v>80.84</v>
      </c>
      <c r="E67" t="inlineStr"/>
      <c r="F67" s="5" t="n">
        <v>83.59999999999999</v>
      </c>
      <c r="G67" t="inlineStr"/>
      <c r="H67" s="5" t="n">
        <v>88.31999999999999</v>
      </c>
      <c r="I67" t="inlineStr"/>
      <c r="J67" s="5" t="n">
        <v>88.3</v>
      </c>
      <c r="K67" t="inlineStr"/>
      <c r="L67" s="5" t="n">
        <v>79.40000000000001</v>
      </c>
      <c r="M67" s="3" t="n">
        <v>70</v>
      </c>
      <c r="N67" t="inlineStr"/>
      <c r="O67" t="inlineStr"/>
      <c r="P67" t="inlineStr"/>
      <c r="Q67" s="5" t="n">
        <v>81.87</v>
      </c>
      <c r="R67" s="6" t="n">
        <v>20150411</v>
      </c>
      <c r="S67" s="6" t="n">
        <v>6371536</v>
      </c>
      <c r="T67" s="6" t="n">
        <v>11068825</v>
      </c>
      <c r="U67" s="6" t="n">
        <v>17440361</v>
      </c>
      <c r="V67" s="4">
        <f>IF(AND(ISNUMBER(R67),ISNUMBER(U67)),R67/U67*100,"")</f>
        <v/>
      </c>
    </row>
    <row r="68">
      <c r="A68" t="inlineStr">
        <is>
          <t>2026-Q3</t>
        </is>
      </c>
      <c r="B68" t="inlineStr"/>
      <c r="C68" t="inlineStr"/>
      <c r="D68" s="5" t="n">
        <v>80.43000000000001</v>
      </c>
      <c r="E68" t="inlineStr"/>
      <c r="F68" t="inlineStr"/>
      <c r="G68" t="inlineStr"/>
      <c r="H68" s="5" t="n">
        <v>88.38</v>
      </c>
      <c r="I68" t="inlineStr"/>
      <c r="J68" s="5" t="n">
        <v>89.8</v>
      </c>
      <c r="K68" t="inlineStr"/>
      <c r="L68" t="inlineStr"/>
      <c r="M68" t="inlineStr"/>
      <c r="N68" t="inlineStr"/>
      <c r="O68" t="inlineStr"/>
      <c r="P68" t="inlineStr"/>
      <c r="Q68" t="inlineStr"/>
      <c r="R68" s="6" t="n">
        <v>20262110</v>
      </c>
      <c r="S68" s="6" t="n">
        <v>6240841</v>
      </c>
      <c r="T68" s="6" t="n">
        <v>11220486</v>
      </c>
      <c r="U68" s="6" t="n">
        <v>17461327</v>
      </c>
      <c r="V68" s="4">
        <f>IF(AND(ISNUMBER(R68),ISNUMBER(U68)),R68/U68*100,"")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Sheet</t>
        </is>
      </c>
      <c r="B1" s="1" t="inlineStr">
        <is>
          <t>Chỉ tiêu</t>
        </is>
      </c>
      <c r="C1" s="1" t="inlineStr">
        <is>
          <t>Nguồn / cách tính</t>
        </is>
      </c>
    </row>
    <row r="2">
      <c r="A2" t="inlineStr">
        <is>
          <t>1_Kenh_dau_tu</t>
        </is>
      </c>
      <c r="B2" t="inlineStr">
        <is>
          <t>Vàng SJC, VN-Index</t>
        </is>
      </c>
      <c r="C2" t="inlineStr">
        <is>
          <t>Tra cứu web (bảng nguồn bên dưới), giá cuối tháng</t>
        </is>
      </c>
    </row>
    <row r="3">
      <c r="A3" t="inlineStr">
        <is>
          <t>1_Kenh_dau_tu</t>
        </is>
      </c>
      <c r="B3" t="inlineStr">
        <is>
          <t>Vàng thế giới</t>
        </is>
      </c>
      <c r="C3" t="inlineStr">
        <is>
          <t>Yahoo Finance GC=F cuối tháng; VND/lượng = USD/oz × USD VCB bán (trước 2015: tỷ giá trung tâm) × 37,5/31,1035</t>
        </is>
      </c>
    </row>
    <row r="4">
      <c r="A4" t="inlineStr">
        <is>
          <t>1_Kenh_dau_tu</t>
        </is>
      </c>
      <c r="B4" t="inlineStr">
        <is>
          <t>USD</t>
        </is>
      </c>
      <c r="C4" t="inlineStr">
        <is>
          <t>VCB giá bán (data/raw/20, từ 2015); tỷ giá trung tâm NHNN (data/raw/19)</t>
        </is>
      </c>
    </row>
    <row r="5">
      <c r="A5" t="inlineStr">
        <is>
          <t>1_Kenh_dau_tu</t>
        </is>
      </c>
      <c r="B5" t="inlineStr">
        <is>
          <t>Tiết kiệm</t>
        </is>
      </c>
      <c r="C5" t="inlineStr">
        <is>
          <t>LS 12 tháng BQ 4 NH Big4, bình quân tháng (Simplize, từ 2016); trước 2016 dùng LS tiền gửi BQ năm World Bank FR.INR.DPST (định nghĩa khác, mọi kỳ hạn). LN 12 tháng = LS của 12 tháng trước</t>
        </is>
      </c>
    </row>
    <row r="6">
      <c r="A6" t="inlineStr">
        <is>
          <t>1_Kenh_dau_tu</t>
        </is>
      </c>
      <c r="B6" t="inlineStr">
        <is>
          <t>LN 12 tháng</t>
        </is>
      </c>
      <c r="C6" t="inlineStr">
        <is>
          <t>% thay đổi so với cùng tháng năm trước (mua 12 tháng trước, bán kỳ này)</t>
        </is>
      </c>
    </row>
    <row r="7">
      <c r="A7" t="inlineStr">
        <is>
          <t>1_Kenh_dau_tu</t>
        </is>
      </c>
      <c r="B7" t="inlineStr">
        <is>
          <t>M2, tín dụng, CPI, GDP</t>
        </is>
      </c>
      <c r="C7" t="inlineStr">
        <is>
          <t>dulieukinhte/VBMA (data/raw/04, 05, series.parquet). GDP thực theo quý gắn vào tháng cuối quý. Lưu ý: M2 so cuối năm từ 10/2025 nghi lỗi nguồn; tín dụng T2=T3/2026 lặp số</t>
        </is>
      </c>
    </row>
    <row r="8">
      <c r="A8" t="inlineStr">
        <is>
          <t>1b_Kenh_dau_tu_nam</t>
        </is>
      </c>
      <c r="B8" t="inlineStr">
        <is>
          <t>Tổng hợp năm</t>
        </is>
      </c>
      <c r="C8" t="inlineStr">
        <is>
          <t>Cuối năm so cuối năm trước; CPI BQ, GDP thực năm từ Mục tiêu-Thực hiện Chính phủ (data/raw/28.1)</t>
        </is>
      </c>
    </row>
    <row r="9">
      <c r="A9" t="inlineStr">
        <is>
          <t>2_Fed_vs_NHNN</t>
        </is>
      </c>
      <c r="B9" t="inlineStr">
        <is>
          <t>Fed</t>
        </is>
      </c>
      <c r="C9" t="inlineStr">
        <is>
          <t>FRED DFEDTARU/DFEDTARL/EFFR, cuối tháng</t>
        </is>
      </c>
    </row>
    <row r="10">
      <c r="A10" t="inlineStr">
        <is>
          <t>2_Fed_vs_NHNN</t>
        </is>
      </c>
      <c r="B10" t="inlineStr">
        <is>
          <t>NHNN</t>
        </is>
      </c>
      <c r="C10" t="inlineStr">
        <is>
          <t>LS tái cấp vốn, tái chiết khấu cuối tháng: data/raw/06 từ 01/2016; trước đó tra cứu web (lịch sử quyết định NHNN / IMF)</t>
        </is>
      </c>
    </row>
    <row r="11">
      <c r="A11" t="inlineStr">
        <is>
          <t>3_Tin_dung_GDP</t>
        </is>
      </c>
      <c r="B11" t="inlineStr">
        <is>
          <t>Dư nợ</t>
        </is>
      </c>
      <c r="C11" t="inlineStr">
        <is>
          <t>data/raw/05 (tỷ VND, cuối quý; theo ngành từ 2018, trước 2018 tra cứu web nếu có — phân ngành có thể khác). Tăng trưởng tính từ số dư lệch với % công bố — giữ cả hai</t>
        </is>
      </c>
    </row>
    <row r="12">
      <c r="A12" t="inlineStr">
        <is>
          <t>3_Tin_dung_GDP</t>
        </is>
      </c>
      <c r="B12" t="inlineStr">
        <is>
          <t>GDP</t>
        </is>
      </c>
      <c r="C12" t="inlineStr">
        <is>
          <t>GDP giá hiện hành theo quý (data/raw/GDP-hien-hanh); tín dụng/GDP = dư nợ cuối quý / GDP 4 quý gần nhất</t>
        </is>
      </c>
    </row>
    <row r="13">
      <c r="A13" t="inlineStr">
        <is>
          <t>3_Tin_dung_GDP</t>
        </is>
      </c>
      <c r="B13" t="inlineStr">
        <is>
          <t>GDP gốc mới</t>
        </is>
      </c>
      <c r="C13" t="inlineStr">
        <is>
          <t>[ước tính] File 2010–2020 là gốc cũ (trước đánh giá lại quy mô GDP, 2021 nhảy ~33%). Quý 2010–2020 × hệ số = GDP năm World Bank (NY.GDP.MKTP.CN, đã đánh giá lại) / tổng 4 quý file. 2021+ giữ nguyên. Tăng trưởng danh nghĩa so cùng kỳ các quý 2021 để trống (cơ cấu quý 2 gốc khác nhau)</t>
        </is>
      </c>
    </row>
    <row r="14">
      <c r="A14" t="inlineStr">
        <is>
          <t>4_Du_tru_XNK</t>
        </is>
      </c>
      <c r="B14" t="inlineStr">
        <is>
          <t>XNK</t>
        </is>
      </c>
      <c r="C14" t="inlineStr">
        <is>
          <t>data/raw/18 (triệu USD/tháng → tỷ USD)</t>
        </is>
      </c>
    </row>
    <row r="15">
      <c r="A15" t="inlineStr">
        <is>
          <t>4_Du_tru_XNK</t>
        </is>
      </c>
      <c r="B15" t="inlineStr">
        <is>
          <t>Dự trữ ngoại hối</t>
        </is>
      </c>
      <c r="C15" t="inlineStr">
        <is>
          <t>IMF International Liquidity (api.imf.org): gồm vàng (định giá theo giá NHNN, TRGNV_REVS) và không gồm vàng (RXF11_REVS). Số tháng NK tính từ chuỗi gồm vàng. Số tháng NK = dự trữ / (NK hàng hóa 12 tháng gần nhất / 12); WB tính cả dịch vụ nên thấp hơn</t>
        </is>
      </c>
    </row>
    <row r="16">
      <c r="A16" t="inlineStr">
        <is>
          <t>5_LDR_khu_vuc</t>
        </is>
      </c>
      <c r="B16" t="inlineStr">
        <is>
          <t>LDR</t>
        </is>
      </c>
      <c r="C16" t="inlineStr">
        <is>
          <t>Cột tên nước: IMF FSI (LDR = 10000 / tiền gửi khách hàng trên cho vay), riêng Trung Quốc = PBoC, Singapore = MAS. Ô tô vàng: số từ tin tức/NHTW (comment trong ô ghi nguồn + link). Chỉ điền thẳng vào cột nước khi cùng định nghĩa (Trung Quốc PBoC, VN toàn hệ thống); nước khác để cột '- nguồn quốc gia' vì định nghĩa khác IMF. Chi tiết nguồn ở bảng dưới</t>
        </is>
      </c>
    </row>
    <row r="17">
      <c r="A17" t="inlineStr">
        <is>
          <t>5_LDR_khu_vuc</t>
        </is>
      </c>
      <c r="B17" t="inlineStr">
        <is>
          <t>VN tự tính</t>
        </is>
      </c>
      <c r="C17" t="inlineStr">
        <is>
          <t>Dư nợ (data/raw/05) / (Tiền gửi TCKT + dân cư, data/raw/04, từ 12/2018); quý = tháng cuối trong quý có đủ cả dư nợ và huy động. Ô tô vàng = số tra cứu web (comment ghi nguồn). Cột LDR tự tính là công thức Excel. Từ 10/2025 nguồn phân loại lại tiền gửi TCKT ↔ dân cư (từng cấu phần gãy, tổng không đổi). Lưu ý dư nợ 2025 trong file nghi cao hơn thực tế (tăng 20,5% vs công bố 19,07%)</t>
        </is>
      </c>
    </row>
    <row r="18"/>
    <row r="19"/>
    <row r="20">
      <c r="A20" s="1" t="inlineStr">
        <is>
          <t>country</t>
        </is>
      </c>
      <c r="B20" s="1" t="inlineStr">
        <is>
          <t>source</t>
        </is>
      </c>
      <c r="C20" s="1" t="inlineStr">
        <is>
          <t>definition</t>
        </is>
      </c>
      <c r="D20" s="1" t="inlineStr">
        <is>
          <t>years_covered</t>
        </is>
      </c>
      <c r="E20" s="1" t="inlineStr">
        <is>
          <t>note</t>
        </is>
      </c>
    </row>
    <row r="21">
      <c r="A21" t="inlineStr">
        <is>
          <t>Vietnam</t>
        </is>
      </c>
      <c r="B21" t="inlineStr">
        <is>
          <t>IMF Financial Soundness Indicators (FSIC dataflow, api.imf.org), indicator FSI55 'Customer deposits to total (noninterbank) loans', deposit takers</t>
        </is>
      </c>
      <c r="C21" t="inlineStr">
        <is>
          <t>LDR = 100 / FSI55 x 100 = noninterbank loans / customer deposits (system-wide simple ratio, NOT SBV regulatory LDR under Circular 22/2019 capped at 85%)</t>
        </is>
      </c>
      <c r="D21" t="inlineStr">
        <is>
          <t>Annual 2010-2025; quarterly: semi-annual 2014-H1..2022-H2 (Q2/Q4 only), full quarterly 2023-Q1..2025-Q4; 2010-2013 values only at Q4 (annual)</t>
        </is>
      </c>
      <c r="E21" t="inlineStr">
        <is>
          <t>Cross-checks: news cites system LDR ~110% Q3-2025 (credit 17.78 vs deposits ~16.2 quadrillion VND) and SBV regulatory LDR ~78-79% in 2024 (different definition). Q1 2014-2022 blank (not reported).</t>
        </is>
      </c>
    </row>
    <row r="22">
      <c r="A22" t="inlineStr">
        <is>
          <t>Thailand</t>
        </is>
      </c>
      <c r="B22" t="inlineStr">
        <is>
          <t>IMF FSI, FSI55 (deposit takers)</t>
        </is>
      </c>
      <c r="C22" t="inlineStr">
        <is>
          <t>100 / (customer deposits / noninterbank loans)</t>
        </is>
      </c>
      <c r="D22" t="inlineStr">
        <is>
          <t>Annual 2010-2025; quarterly 2010-Q1..2026-Q1</t>
        </is>
      </c>
      <c r="E22" t="inlineStr">
        <is>
          <t>Deposit-taker scope incl. specialized FIs; BOT commercial-bank-only loan/deposit ratios run lower (~90-100%).</t>
        </is>
      </c>
    </row>
    <row r="23">
      <c r="A23" t="inlineStr">
        <is>
          <t>Malaysia</t>
        </is>
      </c>
      <c r="B23" t="inlineStr">
        <is>
          <t>IMF FSI, FSI55 (deposit takers)</t>
        </is>
      </c>
      <c r="C23" t="inlineStr">
        <is>
          <t>100 / (customer deposits / noninterbank loans)</t>
        </is>
      </c>
      <c r="D23" t="inlineStr">
        <is>
          <t>Annual 2010-2025; quarterly 2010-Q1..2026-Q1</t>
        </is>
      </c>
      <c r="E23" t="inlineStr">
        <is>
          <t>BNM headline LDR (~87-89%) and loan-to-fund ratio differ slightly in definition.</t>
        </is>
      </c>
    </row>
    <row r="24">
      <c r="A24" t="inlineStr">
        <is>
          <t>Indonesia</t>
        </is>
      </c>
      <c r="B24" t="inlineStr">
        <is>
          <t>IMF FSI, FSI55 (deposit takers)</t>
        </is>
      </c>
      <c r="C24" t="inlineStr">
        <is>
          <t>100 / (customer deposits / noninterbank loans)</t>
        </is>
      </c>
      <c r="D24" t="inlineStr">
        <is>
          <t>Annual 2010-2025; quarterly 2011-Q2..2026-Q1 (2011-Q1/Q3 missing; 2010 only at Q4 from annual)</t>
        </is>
      </c>
      <c r="E24" t="inlineStr">
        <is>
          <t>OJK LDR (credit / third-party funds) is a few points lower (e.g. ~78-89% 2021-2025).</t>
        </is>
      </c>
    </row>
    <row r="25">
      <c r="A25" t="inlineStr">
        <is>
          <t>Philippines</t>
        </is>
      </c>
      <c r="B25" t="inlineStr">
        <is>
          <t>IMF FSI, FSI55 (deposit takers)</t>
        </is>
      </c>
      <c r="C25" t="inlineStr">
        <is>
          <t>100 / (customer deposits / noninterbank loans)</t>
        </is>
      </c>
      <c r="D25" t="inlineStr">
        <is>
          <t>Annual 2010-2025; quarterly 2010-Q1..2026-Q1</t>
        </is>
      </c>
      <c r="E25" t="inlineStr"/>
    </row>
    <row r="26">
      <c r="A26" t="inlineStr">
        <is>
          <t>Singapore</t>
        </is>
      </c>
      <c r="B26" t="inlineStr">
        <is>
          <t>MAS Monthly Statistical Bulletin: I.3A (DBU assets &amp; liabilities, historical CSV) for 2010-2017; I.18 'Commercial Banks: Non-Bank Loan to Deposit Ratios' (historical CSV 2018-01..2021-06 + MAS API table_i_18 2021-07..2026-08) for 2018+</t>
        </is>
      </c>
      <c r="C26" t="inlineStr">
        <is>
          <t>2010-2017: DBU loans &amp; advances incl. bills / DBU deposits of non-bank customers; 2018+: overall (SGD+FX) non-bank LTD ratio of commercial banks</t>
        </is>
      </c>
      <c r="D26" t="inlineStr">
        <is>
          <t>Monthly 2010-01..2026-08 (quarterly = quarter-end month; annual = Dec)</t>
        </is>
      </c>
      <c r="E26" t="inlineStr">
        <is>
          <t>SPLICED series - break at 2018-01. Overlap check: Dec-2018 DBU 107.0 vs overall 107.6; Jun-2021 DBU 90.5 vs overall 93.8. Both raw series in web_ldr_singapore_detail.csv. IMF FSI for Singapore not used (ends 2019, implied ratio ~190-275% because customer deposits exclude ACU/interbank-type funding).</t>
        </is>
      </c>
    </row>
    <row r="27">
      <c r="A27" t="inlineStr">
        <is>
          <t>China</t>
        </is>
      </c>
      <c r="B27" t="inlineStr">
        <is>
          <t>PBoC 'Sources &amp; Uses of Credit Funds of Financial Institutions (in RMB and Foreign Currency)' monthly tables (pbc.gov.cn English statistics, 2010-2025)</t>
        </is>
      </c>
      <c r="C27" t="inlineStr">
        <is>
          <t>Total loans / total deposits, all financial institutions, RMB + FX, end-of-month</t>
        </is>
      </c>
      <c r="D27" t="inlineStr">
        <is>
          <t>Monthly 2010-01..2025-12 (quarterly = quarter-end; annual = Dec)</t>
        </is>
      </c>
      <c r="E27" t="inlineStr">
        <is>
          <t>Definition break 2015: deposits of non-depository FIs added to deposits from 2015 (lowers LDR ~2-3pp; e.g. Dec-2014 73.9 -&gt; Mar-2015 70.9). 2026 tables not yet downloaded/available on the English page. GFDD/IMF not used (GFDD gives implausible 235-366%).</t>
        </is>
      </c>
    </row>
    <row r="28">
      <c r="A28" t="inlineStr">
        <is>
          <t>South_Korea</t>
        </is>
      </c>
      <c r="B28" t="inlineStr">
        <is>
          <t>IMF FSI, FSI55 (deposit takers)</t>
        </is>
      </c>
      <c r="C28" t="inlineStr">
        <is>
          <t>100 / (customer deposits / noninterbank loans)</t>
        </is>
      </c>
      <c r="D28" t="inlineStr">
        <is>
          <t>Annual 2010-2023; quarterly 2010-Q1..2024-Q2</t>
        </is>
      </c>
      <c r="E28" t="inlineStr">
        <is>
          <t>UNCERTAIN level: implies 126-141%, well above FSS/BOK won LDR for banks (~96-100%, regulatory, includes part of CDs/bank debentures). Korea stopped reporting after 2024-Q2 in FSI. Use for trend, not level comparison.</t>
        </is>
      </c>
    </row>
    <row r="29">
      <c r="A29" t="inlineStr">
        <is>
          <t>India</t>
        </is>
      </c>
      <c r="B29" t="inlineStr">
        <is>
          <t>IMF FSI, FSI55 (deposit takers)</t>
        </is>
      </c>
      <c r="C29" t="inlineStr">
        <is>
          <t>100 / (customer deposits / noninterbank loans)</t>
        </is>
      </c>
      <c r="D29" t="inlineStr">
        <is>
          <t>Annual 2011-2025; quarterly 2010-Q1..2026-Q1 (2010-Q2/Q4 missing)</t>
        </is>
      </c>
      <c r="E29" t="inlineStr">
        <is>
          <t>RBI credit-deposit ratio of SCBs (fiscal-year based) is a few points lower (~76-80%); FSI includes all deposit takers.</t>
        </is>
      </c>
    </row>
    <row r="30">
      <c r="A30" t="inlineStr">
        <is>
          <t>ALL</t>
        </is>
      </c>
      <c r="B30" t="inlineStr">
        <is>
          <t>Annual file web_ldr.csv = year-end value (FSI annual obs / Dec obs). Quarterly file web_ldr_quarterly.csv = quarter-end obs; where only annual exists the value is placed at Q4. Monthly file web_ldr_monthly.csv = China and Singapore only.</t>
        </is>
      </c>
      <c r="C30" t="inlineStr">
        <is>
          <t>LDR in percent</t>
        </is>
      </c>
      <c r="D30" t="inlineStr">
        <is>
          <t>2010-2026</t>
        </is>
      </c>
      <c r="E30" t="inlineStr">
        <is>
          <t>No interpolation. World Bank GFDD 'Bank credit to bank deposits' (GFDD.SI.04) checked but rejected: ends 2021 and gives implausible values for Vietnam (536-898%) and China (235-366%).</t>
        </is>
      </c>
    </row>
    <row r="31"/>
    <row r="32"/>
    <row r="33">
      <c r="A33" s="1" t="inlineStr">
        <is>
          <t>country</t>
        </is>
      </c>
      <c r="B33" s="1" t="inlineStr">
        <is>
          <t>time</t>
        </is>
      </c>
      <c r="C33" s="1" t="inlineStr">
        <is>
          <t>ldr_pct</t>
        </is>
      </c>
      <c r="D33" s="1" t="inlineStr">
        <is>
          <t>definition</t>
        </is>
      </c>
      <c r="E33" s="1" t="inlineStr">
        <is>
          <t>source</t>
        </is>
      </c>
      <c r="F33" s="1" t="inlineStr">
        <is>
          <t>url</t>
        </is>
      </c>
      <c r="G33" s="1" t="inlineStr">
        <is>
          <t>note</t>
        </is>
      </c>
    </row>
    <row r="34">
      <c r="A34" t="inlineStr">
        <is>
          <t>Vietnam</t>
        </is>
      </c>
      <c r="B34" t="inlineStr">
        <is>
          <t>2025-09</t>
        </is>
      </c>
      <c r="C34" s="3" t="n">
        <v>109.89</v>
      </c>
      <c r="D34" t="inlineStr">
        <is>
          <t>simple: system credit outstanding / system deposits (SBV totals)</t>
        </is>
      </c>
      <c r="E34" t="inlineStr">
        <is>
          <t>VnBusiness (SBV data)</t>
        </is>
      </c>
      <c r="F34" t="inlineStr">
        <is>
          <t>https://vnbusiness.vn/ngan-hang/he-thong-ngan-hang-hut-1-6-trieu-ty-dong-ldr-cham-dinh-lich-su-1111230.html</t>
        </is>
      </c>
      <c r="G34" t="inlineStr">
        <is>
          <t>computed 17.78/16.18 quadrillion VND (end-Sep 2025); article says ~110%; VnEconomy cites 111% for end-Q3 2025</t>
        </is>
      </c>
    </row>
    <row r="35">
      <c r="A35" t="inlineStr">
        <is>
          <t>Vietnam</t>
        </is>
      </c>
      <c r="B35" t="inlineStr">
        <is>
          <t>2025-12</t>
        </is>
      </c>
      <c r="C35" s="3" t="n">
        <v>110</v>
      </c>
      <c r="D35" t="inlineStr">
        <is>
          <t>VND LDR system (FPTS; loans/deposits VND)</t>
        </is>
      </c>
      <c r="E35" t="inlineStr">
        <is>
          <t>FPTS research (Cap nhat TT22 May2026)</t>
        </is>
      </c>
      <c r="F35" t="inlineStr">
        <is>
          <t>https://file.fpts.com.vn/FileStore2/File/2026/05/14/Cap_nhat_TT22_-_May2026_2670bfef.pdf</t>
        </is>
      </c>
      <c r="G35" t="inlineStr">
        <is>
          <t>from search snippet of PDF (PDF is image; not read directly); ~3pp above IMF-based 107.1</t>
        </is>
      </c>
    </row>
    <row r="36">
      <c r="A36" t="inlineStr">
        <is>
          <t>Vietnam</t>
        </is>
      </c>
      <c r="B36" t="inlineStr">
        <is>
          <t>2026-03</t>
        </is>
      </c>
      <c r="C36" s="3" t="n">
        <v>111.9</v>
      </c>
      <c r="D36" t="inlineStr">
        <is>
          <t>VND LDR system (FPTS; loans/deposits VND)</t>
        </is>
      </c>
      <c r="E36" t="inlineStr">
        <is>
          <t>FPTS research (Cap nhat TT22 May2026)</t>
        </is>
      </c>
      <c r="F36" t="inlineStr">
        <is>
          <t>https://file.fpts.com.vn/FileStore2/File/2026/05/14/Cap_nhat_TT22_-_May2026_2670bfef.pdf</t>
        </is>
      </c>
      <c r="G36" t="inlineStr">
        <is>
          <t>from search snippet of PDF; same series as 2025-12=110</t>
        </is>
      </c>
    </row>
    <row r="37">
      <c r="A37" t="inlineStr">
        <is>
          <t>Vietnam</t>
        </is>
      </c>
      <c r="B37" t="inlineStr">
        <is>
          <t>2026-06</t>
        </is>
      </c>
      <c r="C37" s="3" t="n">
        <v>113</v>
      </c>
      <c r="D37" t="inlineStr">
        <is>
          <t>simple system loans/deposits (SBV officials)</t>
        </is>
      </c>
      <c r="E37" t="inlineStr">
        <is>
          <t>Thoi bao Tai chinh Viet Nam (SBV press conf)</t>
        </is>
      </c>
      <c r="F37" t="inlineStr">
        <is>
          <t>https://thoibaotaichinhvietnam.vn/huy-dong-duoi-suc-truoc-da-tang-tin-dung-nhieu-nam-day-ldr-vot-len-114-200024.html</t>
        </is>
      </c>
      <c r="G37" t="inlineStr">
        <is>
          <t>SBV quoted range 112-114% as of 15/06/2026; midpoint used; pub 2026-07-02</t>
        </is>
      </c>
    </row>
    <row r="38">
      <c r="A38" t="inlineStr">
        <is>
          <t>Vietnam</t>
        </is>
      </c>
      <c r="B38" t="inlineStr">
        <is>
          <t>2026-06</t>
        </is>
      </c>
      <c r="C38" s="3" t="n">
        <v>114</v>
      </c>
      <c r="D38" t="inlineStr">
        <is>
          <t>27 listed banks customer loans / customer deposits</t>
        </is>
      </c>
      <c r="E38" t="inlineStr">
        <is>
          <t>Bloomberg Businessweek Vietnam (bbw.vn)</t>
        </is>
      </c>
      <c r="F38" t="inlineStr">
        <is>
          <t>https://bbw.vn/ldr-cua-he-thong-quy-ii-tiep-tuc-neo-cao-nhung-su-phan-hoa-giua-cac-ngan-hang-ngay-cang-ro-net-59667.html</t>
        </is>
      </c>
      <c r="G38" t="inlineStr">
        <is>
          <t>listed banks only (not whole system); Q1 2026 also 114%; pub 2026-08-10</t>
        </is>
      </c>
    </row>
    <row r="39">
      <c r="A39" t="inlineStr">
        <is>
          <t>Vietnam</t>
        </is>
      </c>
      <c r="B39" t="inlineStr">
        <is>
          <t>2026-03</t>
        </is>
      </c>
      <c r="C39" s="3" t="n">
        <v>100</v>
      </c>
      <c r="D39" t="inlineStr">
        <is>
          <t>27 listed banks net LDR (MBS)</t>
        </is>
      </c>
      <c r="E39" t="inlineStr">
        <is>
          <t>Thoi bao Tai chinh Viet Nam (MBS research)</t>
        </is>
      </c>
      <c r="F39" t="inlineStr">
        <is>
          <t>https://thoibaotaichinhvietnam.vn/chenh-lech-tin-dung-huy-dong-len-14-trieu-ty-dong-ap-luc-ldr-bot-cang-khi-tinh-20-tien-gui-kho-bac-197524.html</t>
        </is>
      </c>
      <c r="G39" t="inlineStr">
        <is>
          <t>regulatory-style net LDR; +2.3pp vs end-2025 (i.e. ~97.7); NOT comparable to simple LDR</t>
        </is>
      </c>
    </row>
    <row r="40">
      <c r="A40" t="inlineStr">
        <is>
          <t>China</t>
        </is>
      </c>
      <c r="B40" t="inlineStr">
        <is>
          <t>2025-12</t>
        </is>
      </c>
      <c r="C40" s="3" t="n">
        <v>82.03</v>
      </c>
      <c r="D40" t="inlineStr">
        <is>
          <t>RMB+FX loans / RMB+FX deposits (all financial institutions)</t>
        </is>
      </c>
      <c r="E40" t="inlineStr">
        <is>
          <t>PBoC Financial Statistics Report 2025</t>
        </is>
      </c>
      <c r="F40" t="inlineStr">
        <is>
          <t>https://www.pbc.gov.cn/en/3688247/3688978/3709137/2026022614345032797/index.html</t>
        </is>
      </c>
      <c r="G40" t="inlineStr">
        <is>
          <t>275.74/336.14 trn yuan; matches existing 82.0</t>
        </is>
      </c>
    </row>
    <row r="41">
      <c r="A41" t="inlineStr">
        <is>
          <t>China</t>
        </is>
      </c>
      <c r="B41" t="inlineStr">
        <is>
          <t>2026-03</t>
        </is>
      </c>
      <c r="C41" s="3" t="n">
        <v>81.23999999999999</v>
      </c>
      <c r="D41" t="inlineStr">
        <is>
          <t>RMB+FX loans / RMB+FX deposits (all financial institutions)</t>
        </is>
      </c>
      <c r="E41" t="inlineStr">
        <is>
          <t>PBoC Financial Statistics Report Q1 2026</t>
        </is>
      </c>
      <c r="F41" t="inlineStr">
        <is>
          <t>https://www.pbc.gov.cn/en/3688247/3688978/3709137/2026041614530685906/index.html</t>
        </is>
      </c>
      <c r="G41" t="inlineStr">
        <is>
          <t>284.51/350.23 trn yuan</t>
        </is>
      </c>
    </row>
    <row r="42">
      <c r="A42" t="inlineStr">
        <is>
          <t>China</t>
        </is>
      </c>
      <c r="B42" t="inlineStr">
        <is>
          <t>2026-06</t>
        </is>
      </c>
      <c r="C42" s="3" t="n">
        <v>80.84</v>
      </c>
      <c r="D42" t="inlineStr">
        <is>
          <t>RMB+FX loans / RMB+FX deposits (all financial institutions)</t>
        </is>
      </c>
      <c r="E42" t="inlineStr">
        <is>
          <t>PBoC Financial Statistics Report H1 2026</t>
        </is>
      </c>
      <c r="F42" t="inlineStr">
        <is>
          <t>https://www.pbc.gov.cn/en/3688247/3688978/3709137/2026071615101246166/index.html</t>
        </is>
      </c>
      <c r="G42" t="inlineStr">
        <is>
          <t>286.43/354.33 trn yuan</t>
        </is>
      </c>
    </row>
    <row r="43">
      <c r="A43" t="inlineStr">
        <is>
          <t>China</t>
        </is>
      </c>
      <c r="B43" t="inlineStr">
        <is>
          <t>2026-08</t>
        </is>
      </c>
      <c r="C43" s="3" t="n">
        <v>80.43000000000001</v>
      </c>
      <c r="D43" t="inlineStr">
        <is>
          <t>RMB+FX loans / RMB+FX deposits (all financial institutions)</t>
        </is>
      </c>
      <c r="E43" t="inlineStr">
        <is>
          <t>PBoC Financial Statistics Report Aug 2026</t>
        </is>
      </c>
      <c r="F43" t="inlineStr">
        <is>
          <t>https://www.pbc.gov.cn/en/3688247/3688978/3709137/2026091810450078652/index.html</t>
        </is>
      </c>
      <c r="G43" t="inlineStr">
        <is>
          <t>286.15/355.77 trn yuan</t>
        </is>
      </c>
    </row>
    <row r="44">
      <c r="A44" t="inlineStr">
        <is>
          <t>South_Korea</t>
        </is>
      </c>
      <c r="B44" t="inlineStr">
        <is>
          <t>2024-03</t>
        </is>
      </c>
      <c r="C44" s="3" t="n">
        <v>95.40000000000001</v>
      </c>
      <c r="D44" t="inlineStr">
        <is>
          <t>regulatory KRW LDR (yedaeyul) avg of 5 major banks</t>
        </is>
      </c>
      <c r="E44" t="inlineStr">
        <is>
          <t>SBS Biz</t>
        </is>
      </c>
      <c r="F44" t="inlineStr">
        <is>
          <t>https://biz.sbs.co.kr/amp/article/20000308038</t>
        </is>
      </c>
      <c r="G44" t="inlineStr">
        <is>
          <t>5 majors only (KB/Shinhan/Hana/Woori/NH); not system-wide; differs from IMF 126% level</t>
        </is>
      </c>
    </row>
    <row r="45">
      <c r="A45" t="inlineStr">
        <is>
          <t>South_Korea</t>
        </is>
      </c>
      <c r="B45" t="inlineStr">
        <is>
          <t>2025-03</t>
        </is>
      </c>
      <c r="C45" s="3" t="n">
        <v>96.59999999999999</v>
      </c>
      <c r="D45" t="inlineStr">
        <is>
          <t>regulatory KRW LDR avg of 5 major banks</t>
        </is>
      </c>
      <c r="E45" t="inlineStr">
        <is>
          <t>SBS Biz</t>
        </is>
      </c>
      <c r="F45" t="inlineStr">
        <is>
          <t>https://biz.sbs.co.kr/amp/article/20000308038</t>
        </is>
      </c>
      <c r="G45" t="inlineStr">
        <is>
          <t>5 majors only</t>
        </is>
      </c>
    </row>
    <row r="46">
      <c r="A46" t="inlineStr">
        <is>
          <t>South_Korea</t>
        </is>
      </c>
      <c r="B46" t="inlineStr">
        <is>
          <t>2025-06</t>
        </is>
      </c>
      <c r="C46" s="3" t="n">
        <v>97</v>
      </c>
      <c r="D46" t="inlineStr">
        <is>
          <t>regulatory KRW LDR avg of 5 major banks</t>
        </is>
      </c>
      <c r="E46" t="inlineStr">
        <is>
          <t>SBS Biz</t>
        </is>
      </c>
      <c r="F46" t="inlineStr">
        <is>
          <t>https://biz.sbs.co.kr/amp/article/20000308038</t>
        </is>
      </c>
      <c r="G46" t="inlineStr">
        <is>
          <t>5 majors only</t>
        </is>
      </c>
    </row>
    <row r="47">
      <c r="A47" t="inlineStr">
        <is>
          <t>South_Korea</t>
        </is>
      </c>
      <c r="B47" t="inlineStr">
        <is>
          <t>2025-09</t>
        </is>
      </c>
      <c r="C47" s="3" t="n">
        <v>96.3</v>
      </c>
      <c r="D47" t="inlineStr">
        <is>
          <t>regulatory KRW LDR avg of 5 major banks</t>
        </is>
      </c>
      <c r="E47" t="inlineStr">
        <is>
          <t>SBS Biz</t>
        </is>
      </c>
      <c r="F47" t="inlineStr">
        <is>
          <t>https://biz.sbs.co.kr/amp/article/20000308038</t>
        </is>
      </c>
      <c r="G47" t="inlineStr">
        <is>
          <t>5 majors only</t>
        </is>
      </c>
    </row>
    <row r="48">
      <c r="A48" t="inlineStr">
        <is>
          <t>South_Korea</t>
        </is>
      </c>
      <c r="B48" t="inlineStr">
        <is>
          <t>2025-12</t>
        </is>
      </c>
      <c r="C48" s="3" t="n">
        <v>96.2</v>
      </c>
      <c r="D48" t="inlineStr">
        <is>
          <t>regulatory KRW LDR avg of 5 major banks</t>
        </is>
      </c>
      <c r="E48" t="inlineStr">
        <is>
          <t>SBS Biz</t>
        </is>
      </c>
      <c r="F48" t="inlineStr">
        <is>
          <t>https://biz.sbs.co.kr/amp/article/20000308038</t>
        </is>
      </c>
      <c r="G48" t="inlineStr">
        <is>
          <t>5 majors only</t>
        </is>
      </c>
    </row>
    <row r="49">
      <c r="A49" t="inlineStr">
        <is>
          <t>South_Korea</t>
        </is>
      </c>
      <c r="B49" t="inlineStr">
        <is>
          <t>2026-03</t>
        </is>
      </c>
      <c r="C49" s="3" t="n">
        <v>96</v>
      </c>
      <c r="D49" t="inlineStr">
        <is>
          <t>regulatory KRW LDR avg of 5 major banks</t>
        </is>
      </c>
      <c r="E49" t="inlineStr">
        <is>
          <t>Asia Economy / SBS Biz</t>
        </is>
      </c>
      <c r="F49" t="inlineStr">
        <is>
          <t>https://view.asiae.co.kr/en/article/2026050309015369153</t>
        </is>
      </c>
      <c r="G49" t="inlineStr">
        <is>
          <t>5 majors only; lowest since 2024-Q1; Q2 2026 not found</t>
        </is>
      </c>
    </row>
    <row r="50">
      <c r="A50" t="inlineStr">
        <is>
          <t>Indonesia</t>
        </is>
      </c>
      <c r="B50" t="inlineStr">
        <is>
          <t>2025-12</t>
        </is>
      </c>
      <c r="C50" s="3" t="n">
        <v>85.34999999999999</v>
      </c>
      <c r="D50" t="inlineStr">
        <is>
          <t>LDR commercial banks (OJK)</t>
        </is>
      </c>
      <c r="E50" t="inlineStr">
        <is>
          <t>Kontan (OJK)</t>
        </is>
      </c>
      <c r="F50" t="inlineStr">
        <is>
          <t>https://keuangan.kontan.co.id/news/ojk-kredit-perbankan-tumbuh-96-pada-2025-risiko-dan-likuiditas-tetap-terjaga</t>
        </is>
      </c>
      <c r="G50" t="inlineStr">
        <is>
          <t>value from search snippet</t>
        </is>
      </c>
    </row>
    <row r="51">
      <c r="A51" t="inlineStr">
        <is>
          <t>Indonesia</t>
        </is>
      </c>
      <c r="B51" t="inlineStr">
        <is>
          <t>2026-03</t>
        </is>
      </c>
      <c r="C51" s="3" t="n">
        <v>84.64</v>
      </c>
      <c r="D51" t="inlineStr">
        <is>
          <t>LDR commercial banks (OJK)</t>
        </is>
      </c>
      <c r="E51" t="inlineStr">
        <is>
          <t>Bisnis.com (OJK RDK)</t>
        </is>
      </c>
      <c r="F51" t="inlineStr">
        <is>
          <t>https://finansial.bisnis.com/read/20260506/90/1971914/ojk-catat-kredit-perbankan-tumbuh-949-sektor-konstruksi-jadi-penopang</t>
        </is>
      </c>
      <c r="G51" t="inlineStr">
        <is>
          <t>Feb 2026 = 84.72; value from search snippet</t>
        </is>
      </c>
    </row>
    <row r="52">
      <c r="A52" t="inlineStr">
        <is>
          <t>Indonesia</t>
        </is>
      </c>
      <c r="B52" t="inlineStr">
        <is>
          <t>2026-05</t>
        </is>
      </c>
      <c r="C52" s="3" t="n">
        <v>86.63</v>
      </c>
      <c r="D52" t="inlineStr">
        <is>
          <t>LDR commercial banks (OJK)</t>
        </is>
      </c>
      <c r="E52" t="inlineStr">
        <is>
          <t>Kontan</t>
        </is>
      </c>
      <c r="F52" t="inlineStr">
        <is>
          <t>https://keuangan.kontan.co.id/news/likuiditas-perbankan-makin-ketat-ldr-sejumlah-bank-besar-naik-pada-semester-i-2026</t>
        </is>
      </c>
      <c r="G52" t="inlineStr">
        <is>
          <t>Apr 2026 = 86.88; value from search snippet</t>
        </is>
      </c>
    </row>
    <row r="53">
      <c r="A53" t="inlineStr">
        <is>
          <t>Indonesia</t>
        </is>
      </c>
      <c r="B53" t="inlineStr">
        <is>
          <t>2026-06</t>
        </is>
      </c>
      <c r="C53" s="3" t="n">
        <v>88.31999999999999</v>
      </c>
      <c r="D53" t="inlineStr">
        <is>
          <t>LDR commercial banks (OJK)</t>
        </is>
      </c>
      <c r="E53" t="inlineStr">
        <is>
          <t>CNN Indonesia (OJK)</t>
        </is>
      </c>
      <c r="F53" t="inlineStr">
        <is>
          <t>https://www.cnnindonesia.com/ekonomi/20260803215846-78-1388216/ojk-kredit-perbankan-tumbuh-1267-persen-hingga-juni-2026</t>
        </is>
      </c>
      <c r="G53" t="inlineStr">
        <is>
          <t>verified in article; pub 2026-08-04</t>
        </is>
      </c>
    </row>
    <row r="54">
      <c r="A54" t="inlineStr">
        <is>
          <t>Indonesia</t>
        </is>
      </c>
      <c r="B54" t="inlineStr">
        <is>
          <t>2026-07</t>
        </is>
      </c>
      <c r="C54" s="3" t="n">
        <v>88.38</v>
      </c>
      <c r="D54" t="inlineStr">
        <is>
          <t>LDR commercial banks (OJK)</t>
        </is>
      </c>
      <c r="E54" t="inlineStr">
        <is>
          <t>Kontan (OJK)</t>
        </is>
      </c>
      <c r="F54" t="inlineStr">
        <is>
          <t>https://keuangan.kontan.co.id/news/ldr-perbankan-naik-jadi-8838-ojk-sebut-likuiditas-masih-memadai</t>
        </is>
      </c>
      <c r="G54" t="inlineStr">
        <is>
          <t>verified; loans 9135 trn / DPK 10336 trn IDR</t>
        </is>
      </c>
    </row>
    <row r="55">
      <c r="A55" t="inlineStr">
        <is>
          <t>Malaysia</t>
        </is>
      </c>
      <c r="B55" t="inlineStr">
        <is>
          <t>2025-08</t>
        </is>
      </c>
      <c r="C55" s="3" t="n">
        <v>89.40000000000001</v>
      </c>
      <c r="D55" t="inlineStr">
        <is>
          <t>system LDR (BNM monthly data; analyst calc)</t>
        </is>
      </c>
      <c r="E55" t="inlineStr">
        <is>
          <t>Business Today Malaysia</t>
        </is>
      </c>
      <c r="F55" t="inlineStr">
        <is>
          <t>https://www.businesstoday.com.my/2026/10/01/analysts-stay-neutral-on-banks-as-funding-costs-asset-quality-risks-build/</t>
        </is>
      </c>
      <c r="G55" t="inlineStr">
        <is>
          <t>year-ago value cited in Aug-2026 article; page 403, value from search snippet</t>
        </is>
      </c>
    </row>
    <row r="56">
      <c r="A56" t="inlineStr">
        <is>
          <t>Malaysia</t>
        </is>
      </c>
      <c r="B56" t="inlineStr">
        <is>
          <t>2026-05</t>
        </is>
      </c>
      <c r="C56" s="3" t="n">
        <v>89.3</v>
      </c>
      <c r="D56" t="inlineStr">
        <is>
          <t>system LDR (BNM monthly data; analyst calc)</t>
        </is>
      </c>
      <c r="E56" t="inlineStr">
        <is>
          <t>Business Today Malaysia</t>
        </is>
      </c>
      <c r="F56" t="inlineStr">
        <is>
          <t>https://www.businesstoday.com.my/2026/07/01/what-the-banking-sectors-loan-growth-indicate/</t>
        </is>
      </c>
      <c r="G56" t="inlineStr">
        <is>
          <t>value from search snippet (page 403)</t>
        </is>
      </c>
    </row>
    <row r="57">
      <c r="A57" t="inlineStr">
        <is>
          <t>Malaysia</t>
        </is>
      </c>
      <c r="B57" t="inlineStr">
        <is>
          <t>2026-06</t>
        </is>
      </c>
      <c r="C57" s="3" t="n">
        <v>88.3</v>
      </c>
      <c r="D57" t="inlineStr">
        <is>
          <t>system LDR (BNM monthly data; RHB Research)</t>
        </is>
      </c>
      <c r="E57" t="inlineStr">
        <is>
          <t>Business Today Malaysia (RHB)</t>
        </is>
      </c>
      <c r="F57" t="inlineStr">
        <is>
          <t>https://www.businesstoday.com.my/2026/08/03/rhb-ib-sees-loan-growth-staying-on-track-for-full-year-forecast-between-5-5-5/</t>
        </is>
      </c>
      <c r="G57" t="inlineStr">
        <is>
          <t>-0.4pp YoY; value from search snippet</t>
        </is>
      </c>
    </row>
    <row r="58">
      <c r="A58" t="inlineStr">
        <is>
          <t>Malaysia</t>
        </is>
      </c>
      <c r="B58" t="inlineStr">
        <is>
          <t>2026-07</t>
        </is>
      </c>
      <c r="C58" s="3" t="n">
        <v>88.8</v>
      </c>
      <c r="D58" t="inlineStr">
        <is>
          <t>system LDR (BNM monthly data; analyst calc)</t>
        </is>
      </c>
      <c r="E58" t="inlineStr">
        <is>
          <t>Business Today Malaysia</t>
        </is>
      </c>
      <c r="F58" t="inlineStr">
        <is>
          <t>https://www.businesstoday.com.my/2026/10/01/analysts-stay-neutral-on-banks-as-funding-costs-asset-quality-risks-build/</t>
        </is>
      </c>
      <c r="G58" t="inlineStr">
        <is>
          <t>The Star cites 87.6% for July on another definition (101.1% ex-FX deposits)</t>
        </is>
      </c>
    </row>
    <row r="59">
      <c r="A59" t="inlineStr">
        <is>
          <t>Malaysia</t>
        </is>
      </c>
      <c r="B59" t="inlineStr">
        <is>
          <t>2026-08</t>
        </is>
      </c>
      <c r="C59" s="3" t="n">
        <v>89.8</v>
      </c>
      <c r="D59" t="inlineStr">
        <is>
          <t>system LDR (BNM monthly data; analyst calc)</t>
        </is>
      </c>
      <c r="E59" t="inlineStr">
        <is>
          <t>Business Today Malaysia</t>
        </is>
      </c>
      <c r="F59" t="inlineStr">
        <is>
          <t>https://www.businesstoday.com.my/2026/10/01/analysts-stay-neutral-on-banks-as-funding-costs-asset-quality-risks-build/</t>
        </is>
      </c>
      <c r="G59" t="inlineStr">
        <is>
          <t>value from search snippet (page 403); 2025-12 and 2026-03 not found</t>
        </is>
      </c>
    </row>
    <row r="60">
      <c r="A60" t="inlineStr">
        <is>
          <t>Thailand</t>
        </is>
      </c>
      <c r="B60" t="inlineStr">
        <is>
          <t>2026-01</t>
        </is>
      </c>
      <c r="C60" s="3" t="n">
        <v>81.7</v>
      </c>
      <c r="D60" t="inlineStr">
        <is>
          <t>net loans+accrued interest / deposits; 17 Thai commercial banks</t>
        </is>
      </c>
      <c r="E60" t="inlineStr">
        <is>
          <t>Kasikorn Research</t>
        </is>
      </c>
      <c r="F60" t="inlineStr">
        <is>
          <t>https://www.kasikornresearch.com/en/analysis/k-social-media/Pages/Info421-Bankloan-FB-02-03-26.aspx</t>
        </is>
      </c>
      <c r="G60" t="inlineStr">
        <is>
          <t>computed 13.48/16.50 trn THB</t>
        </is>
      </c>
    </row>
    <row r="61">
      <c r="A61" t="inlineStr">
        <is>
          <t>Thailand</t>
        </is>
      </c>
      <c r="B61" t="inlineStr">
        <is>
          <t>2026-04</t>
        </is>
      </c>
      <c r="C61" s="3" t="n">
        <v>81.87</v>
      </c>
      <c r="D61" t="inlineStr">
        <is>
          <t>net loans+accrued interest / deposits; 17 Thai commercial banks</t>
        </is>
      </c>
      <c r="E61" t="inlineStr">
        <is>
          <t>Kasikorn Research</t>
        </is>
      </c>
      <c r="F61" t="inlineStr">
        <is>
          <t>https://www.kasikornresearch.com/en/analysis/k-social-media/Pages/Info469-BankLoan-FB-29-05-2026.aspx</t>
        </is>
      </c>
      <c r="G61" t="inlineStr">
        <is>
          <t>computed 13.82/16.88 trn THB; BOT Q1 brief says LDR ~unchanged vs Dec 2025; no Q2 system value found</t>
        </is>
      </c>
    </row>
    <row r="62">
      <c r="A62" t="inlineStr">
        <is>
          <t>Philippines</t>
        </is>
      </c>
      <c r="B62" t="inlineStr">
        <is>
          <t>2025-06</t>
        </is>
      </c>
      <c r="C62" s="3" t="n">
        <v>76.84</v>
      </c>
      <c r="D62" t="inlineStr">
        <is>
          <t>gross loans / deposits; banking system (BSP)</t>
        </is>
      </c>
      <c r="E62" t="inlineStr">
        <is>
          <t>EdgeX news (BSP data)</t>
        </is>
      </c>
      <c r="F62" t="inlineStr">
        <is>
          <t>https://pro.edgex.exchange/en-US/news/article/philippines-loan-to-deposit-ratio-falling-by-2050</t>
        </is>
      </c>
      <c r="G62" t="inlineStr">
        <is>
          <t>year-ago value cited in article</t>
        </is>
      </c>
    </row>
    <row r="63">
      <c r="A63" t="inlineStr">
        <is>
          <t>Philippines</t>
        </is>
      </c>
      <c r="B63" t="inlineStr">
        <is>
          <t>2025-12</t>
        </is>
      </c>
      <c r="C63" s="3" t="n">
        <v>75.89</v>
      </c>
      <c r="D63" t="inlineStr">
        <is>
          <t>net loans incl IBL &amp; RRP / deposits; banking system (BSP)</t>
        </is>
      </c>
      <c r="E63" t="inlineStr">
        <is>
          <t>Metrobank Wealth Insights (BSP)</t>
        </is>
      </c>
      <c r="F63" t="inlineStr">
        <is>
          <t>https://wealthinsights.metrobank.com.ph/news/philippine-banks-end-2025-with-nearly-p30-trillion-in-assets</t>
        </is>
      </c>
      <c r="G63" t="inlineStr">
        <is>
          <t>computed 16.607/21.882 trn PHP; NET loan basis - not same as gross series</t>
        </is>
      </c>
    </row>
    <row r="64">
      <c r="A64" t="inlineStr">
        <is>
          <t>Philippines</t>
        </is>
      </c>
      <c r="B64" t="inlineStr">
        <is>
          <t>2026-06</t>
        </is>
      </c>
      <c r="C64" s="3" t="n">
        <v>79.40000000000001</v>
      </c>
      <c r="D64" t="inlineStr">
        <is>
          <t>gross loans / deposits; banking system (BSP)</t>
        </is>
      </c>
      <c r="E64" t="inlineStr">
        <is>
          <t>EdgeX news (BSP data)</t>
        </is>
      </c>
      <c r="F64" t="inlineStr">
        <is>
          <t>https://pro.edgex.exchange/en-US/news/article/philippines-loan-to-deposit-ratio-falling-by-2050</t>
        </is>
      </c>
      <c r="G64" t="inlineStr">
        <is>
          <t>17.781/22.394 trn PHP; pub 2026-07-28</t>
        </is>
      </c>
    </row>
    <row r="65">
      <c r="A65" t="inlineStr">
        <is>
          <t>India</t>
        </is>
      </c>
      <c r="B65" t="inlineStr">
        <is>
          <t>2025-12</t>
        </is>
      </c>
      <c r="C65" s="3" t="n">
        <v>81.75</v>
      </c>
      <c r="D65" t="inlineStr">
        <is>
          <t>credit/deposit ratio scheduled commercial banks (RBI)</t>
        </is>
      </c>
      <c r="E65" t="inlineStr">
        <is>
          <t>Scienaptic news</t>
        </is>
      </c>
      <c r="F65" t="inlineStr">
        <is>
          <t>https://www.scienaptic.ai/news-global/credit-deposit-ratio-at-banks-hit-81.75%25-in-dec-2025.-is-this-worrisome%3F-experts-weigh-in</t>
        </is>
      </c>
      <c r="G65" t="inlineStr">
        <is>
          <t>as of 31-Dec-2025; value from search snippet</t>
        </is>
      </c>
    </row>
    <row r="66">
      <c r="A66" t="inlineStr">
        <is>
          <t>India</t>
        </is>
      </c>
      <c r="B66" t="inlineStr">
        <is>
          <t>2026-03</t>
        </is>
      </c>
      <c r="C66" s="3" t="n">
        <v>82.2</v>
      </c>
      <c r="D66" t="inlineStr">
        <is>
          <t>credit/deposit ratio scheduled commercial banks (RBI Bulletin)</t>
        </is>
      </c>
      <c r="E66" t="inlineStr">
        <is>
          <t>NewKerala (RBI Bulletin)</t>
        </is>
      </c>
      <c r="F66" t="inlineStr">
        <is>
          <t>https://www.newkerala.com/news/a/high-credit-deposit-ratio-does-not-signal-funding-constraint-199.htm</t>
        </is>
      </c>
      <c r="G66" t="inlineStr">
        <is>
          <t>verified; RBI WSS fortnight 31-Mar-2026 reported 81.44 (unverified)</t>
        </is>
      </c>
    </row>
    <row r="67">
      <c r="A67" t="inlineStr">
        <is>
          <t>India</t>
        </is>
      </c>
      <c r="B67" t="inlineStr">
        <is>
          <t>2026-06</t>
        </is>
      </c>
      <c r="C67" s="3" t="n">
        <v>83.59999999999999</v>
      </c>
      <c r="D67" t="inlineStr">
        <is>
          <t>credit/deposit ratio scheduled commercial banks (RBI fortnightly)</t>
        </is>
      </c>
      <c r="E67" t="inlineStr">
        <is>
          <t>News On AIR (RBI)</t>
        </is>
      </c>
      <c r="F67" t="inlineStr">
        <is>
          <t>https://newsonair.gov.in/rbi-says-bank-credit-rises-marginally-deposits-decline-slightly/</t>
        </is>
      </c>
      <c r="G67" t="inlineStr">
        <is>
          <t>computed 220.59/263.86 lakh crore INR fortnight 15-Jun-2026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2026-10-08T07:36:36Z</dcterms:created>
  <dcterms:modified xmlns:dcterms="http://purl.org/dc/terms/" xmlns:xsi="http://www.w3.org/2001/XMLSchema-instance" xsi:type="dcterms:W3CDTF">2026-10-08T07:36:36Z</dcterms:modified>
</cp:coreProperties>
</file>
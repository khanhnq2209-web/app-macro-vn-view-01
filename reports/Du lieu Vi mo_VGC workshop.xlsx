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_base\projects\2026-BDS-data\reports\"/>
    </mc:Choice>
  </mc:AlternateContent>
  <xr:revisionPtr revIDLastSave="0" documentId="13_ncr:1_{E8FDA1B0-7F00-4EA0-B11A-4C34B0A38CCE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1_Kenh_dau_tu" sheetId="8" r:id="rId1"/>
    <sheet name="2_Fed_vs_NHNN" sheetId="3" r:id="rId2"/>
    <sheet name="3_Tin_dung_GDP" sheetId="4" r:id="rId3"/>
    <sheet name="4_Du_tru_XNK" sheetId="5" r:id="rId4"/>
    <sheet name="4_Du_tru_XNK_Quy" sheetId="10" r:id="rId5"/>
    <sheet name="5_LDR_khu_vu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2" i="8" l="1"/>
  <c r="A2" i="10"/>
  <c r="C6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2" i="4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11" i="8"/>
  <c r="T12" i="8"/>
  <c r="T13" i="8"/>
  <c r="K3" i="8"/>
  <c r="K4" i="8"/>
  <c r="K5" i="8"/>
  <c r="K6" i="8"/>
  <c r="K7" i="8"/>
  <c r="K8" i="8"/>
  <c r="K9" i="8"/>
  <c r="K10" i="8"/>
  <c r="K11" i="8"/>
  <c r="K12" i="8"/>
  <c r="F38" i="8" s="1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" i="8"/>
  <c r="F3" i="8" s="1"/>
  <c r="U4" i="8"/>
  <c r="U5" i="8" s="1"/>
  <c r="U6" i="8" s="1"/>
  <c r="U7" i="8"/>
  <c r="U8" i="8" s="1"/>
  <c r="U9" i="8" s="1"/>
  <c r="U10" i="8"/>
  <c r="U11" i="8" s="1"/>
  <c r="U12" i="8" s="1"/>
  <c r="U13" i="8"/>
  <c r="U14" i="8"/>
  <c r="U15" i="8" s="1"/>
  <c r="U16" i="8"/>
  <c r="U17" i="8" s="1"/>
  <c r="U19" i="8"/>
  <c r="U20" i="8"/>
  <c r="U22" i="8"/>
  <c r="U25" i="8"/>
  <c r="U26" i="8" s="1"/>
  <c r="U27" i="8" s="1"/>
  <c r="U28" i="8"/>
  <c r="U29" i="8" s="1"/>
  <c r="U30" i="8" s="1"/>
  <c r="U31" i="8"/>
  <c r="U32" i="8"/>
  <c r="U33" i="8" s="1"/>
  <c r="U34" i="8"/>
  <c r="U37" i="8"/>
  <c r="U40" i="8"/>
  <c r="U41" i="8" s="1"/>
  <c r="U42" i="8" s="1"/>
  <c r="U43" i="8"/>
  <c r="U44" i="8" s="1"/>
  <c r="U45" i="8" s="1"/>
  <c r="U46" i="8"/>
  <c r="U47" i="8" s="1"/>
  <c r="U48" i="8" s="1"/>
  <c r="U49" i="8"/>
  <c r="U50" i="8" s="1"/>
  <c r="U51" i="8" s="1"/>
  <c r="U52" i="8"/>
  <c r="U53" i="8"/>
  <c r="U54" i="8"/>
  <c r="U55" i="8"/>
  <c r="U56" i="8"/>
  <c r="U57" i="8"/>
  <c r="U58" i="8"/>
  <c r="U59" i="8" s="1"/>
  <c r="U60" i="8" s="1"/>
  <c r="U61" i="8"/>
  <c r="U64" i="8"/>
  <c r="U65" i="8" s="1"/>
  <c r="U66" i="8" s="1"/>
  <c r="U67" i="8"/>
  <c r="U68" i="8" s="1"/>
  <c r="U70" i="8"/>
  <c r="U71" i="8" s="1"/>
  <c r="U72" i="8" s="1"/>
  <c r="U73" i="8"/>
  <c r="U74" i="8" s="1"/>
  <c r="U75" i="8" s="1"/>
  <c r="U76" i="8"/>
  <c r="U77" i="8" s="1"/>
  <c r="U78" i="8" s="1"/>
  <c r="U79" i="8"/>
  <c r="U80" i="8"/>
  <c r="U81" i="8" s="1"/>
  <c r="U82" i="8"/>
  <c r="U83" i="8" s="1"/>
  <c r="U84" i="8" s="1"/>
  <c r="U85" i="8"/>
  <c r="U88" i="8"/>
  <c r="U89" i="8"/>
  <c r="U91" i="8"/>
  <c r="U94" i="8"/>
  <c r="U97" i="8"/>
  <c r="U98" i="8"/>
  <c r="U99" i="8" s="1"/>
  <c r="U100" i="8"/>
  <c r="U101" i="8" s="1"/>
  <c r="U102" i="8" s="1"/>
  <c r="U103" i="8"/>
  <c r="U104" i="8"/>
  <c r="U105" i="8" s="1"/>
  <c r="U106" i="8"/>
  <c r="U107" i="8" s="1"/>
  <c r="U108" i="8" s="1"/>
  <c r="U109" i="8"/>
  <c r="U112" i="8"/>
  <c r="U113" i="8"/>
  <c r="U114" i="8" s="1"/>
  <c r="U115" i="8"/>
  <c r="U116" i="8" s="1"/>
  <c r="U117" i="8" s="1"/>
  <c r="U118" i="8"/>
  <c r="U119" i="8" s="1"/>
  <c r="U121" i="8"/>
  <c r="U122" i="8"/>
  <c r="U123" i="8" s="1"/>
  <c r="U124" i="8"/>
  <c r="U125" i="8" s="1"/>
  <c r="U126" i="8" s="1"/>
  <c r="U127" i="8"/>
  <c r="U130" i="8"/>
  <c r="U133" i="8"/>
  <c r="U136" i="8"/>
  <c r="U137" i="8" s="1"/>
  <c r="U139" i="8"/>
  <c r="U140" i="8"/>
  <c r="U141" i="8" s="1"/>
  <c r="U142" i="8"/>
  <c r="U143" i="8" s="1"/>
  <c r="U144" i="8" s="1"/>
  <c r="U145" i="8"/>
  <c r="U146" i="8"/>
  <c r="U147" i="8" s="1"/>
  <c r="U148" i="8"/>
  <c r="U149" i="8" s="1"/>
  <c r="U150" i="8" s="1"/>
  <c r="U151" i="8"/>
  <c r="U152" i="8"/>
  <c r="U153" i="8" s="1"/>
  <c r="U154" i="8"/>
  <c r="U157" i="8"/>
  <c r="U160" i="8"/>
  <c r="U163" i="8"/>
  <c r="U164" i="8"/>
  <c r="U165" i="8" s="1"/>
  <c r="U166" i="8"/>
  <c r="U169" i="8"/>
  <c r="U170" i="8" s="1"/>
  <c r="U171" i="8" s="1"/>
  <c r="U172" i="8"/>
  <c r="U175" i="8"/>
  <c r="U176" i="8"/>
  <c r="U177" i="8"/>
  <c r="U178" i="8"/>
  <c r="U179" i="8"/>
  <c r="U180" i="8" s="1"/>
  <c r="U181" i="8"/>
  <c r="U182" i="8" s="1"/>
  <c r="U183" i="8" s="1"/>
  <c r="U184" i="8"/>
  <c r="U185" i="8" s="1"/>
  <c r="U187" i="8"/>
  <c r="U188" i="8"/>
  <c r="U189" i="8" s="1"/>
  <c r="U190" i="8"/>
  <c r="U191" i="8"/>
  <c r="U193" i="8"/>
  <c r="U196" i="8"/>
  <c r="U199" i="8"/>
  <c r="U200" i="8"/>
  <c r="U202" i="8"/>
  <c r="U203" i="8"/>
  <c r="U3" i="8"/>
  <c r="C3" i="8"/>
  <c r="D3" i="8"/>
  <c r="E3" i="8"/>
  <c r="G3" i="8"/>
  <c r="H3" i="8"/>
  <c r="C4" i="8"/>
  <c r="D4" i="8"/>
  <c r="E4" i="8"/>
  <c r="G4" i="8"/>
  <c r="H4" i="8"/>
  <c r="C5" i="8"/>
  <c r="D5" i="8"/>
  <c r="E5" i="8"/>
  <c r="G5" i="8"/>
  <c r="H5" i="8"/>
  <c r="C6" i="8"/>
  <c r="D6" i="8"/>
  <c r="E6" i="8"/>
  <c r="G6" i="8"/>
  <c r="H6" i="8"/>
  <c r="C7" i="8"/>
  <c r="D7" i="8"/>
  <c r="E7" i="8"/>
  <c r="G7" i="8"/>
  <c r="H7" i="8"/>
  <c r="C8" i="8"/>
  <c r="D8" i="8"/>
  <c r="E8" i="8"/>
  <c r="G8" i="8"/>
  <c r="H8" i="8"/>
  <c r="C9" i="8"/>
  <c r="D9" i="8"/>
  <c r="E9" i="8"/>
  <c r="G9" i="8"/>
  <c r="H9" i="8"/>
  <c r="C10" i="8"/>
  <c r="D10" i="8"/>
  <c r="E10" i="8"/>
  <c r="G10" i="8"/>
  <c r="H10" i="8"/>
  <c r="C11" i="8"/>
  <c r="D11" i="8"/>
  <c r="E11" i="8"/>
  <c r="G11" i="8"/>
  <c r="H11" i="8"/>
  <c r="C12" i="8"/>
  <c r="D12" i="8"/>
  <c r="E12" i="8"/>
  <c r="G12" i="8"/>
  <c r="H12" i="8"/>
  <c r="C13" i="8"/>
  <c r="D13" i="8"/>
  <c r="E13" i="8"/>
  <c r="G13" i="8"/>
  <c r="H13" i="8"/>
  <c r="C14" i="8"/>
  <c r="D14" i="8"/>
  <c r="E14" i="8"/>
  <c r="G14" i="8"/>
  <c r="H14" i="8"/>
  <c r="C15" i="8"/>
  <c r="D15" i="8"/>
  <c r="E15" i="8"/>
  <c r="G15" i="8"/>
  <c r="H15" i="8"/>
  <c r="C16" i="8"/>
  <c r="D16" i="8"/>
  <c r="E16" i="8"/>
  <c r="G16" i="8"/>
  <c r="H16" i="8"/>
  <c r="C17" i="8"/>
  <c r="D17" i="8"/>
  <c r="E17" i="8"/>
  <c r="G17" i="8"/>
  <c r="H17" i="8"/>
  <c r="C18" i="8"/>
  <c r="D18" i="8"/>
  <c r="E18" i="8"/>
  <c r="G18" i="8"/>
  <c r="H18" i="8"/>
  <c r="C19" i="8"/>
  <c r="D19" i="8"/>
  <c r="E19" i="8"/>
  <c r="G19" i="8"/>
  <c r="H19" i="8"/>
  <c r="C20" i="8"/>
  <c r="D20" i="8"/>
  <c r="E20" i="8"/>
  <c r="G20" i="8"/>
  <c r="H20" i="8"/>
  <c r="C21" i="8"/>
  <c r="D21" i="8"/>
  <c r="E21" i="8"/>
  <c r="G21" i="8"/>
  <c r="H21" i="8"/>
  <c r="C22" i="8"/>
  <c r="D22" i="8"/>
  <c r="E22" i="8"/>
  <c r="G22" i="8"/>
  <c r="H22" i="8"/>
  <c r="C23" i="8"/>
  <c r="D23" i="8"/>
  <c r="E23" i="8"/>
  <c r="G23" i="8"/>
  <c r="H23" i="8"/>
  <c r="C24" i="8"/>
  <c r="D24" i="8"/>
  <c r="E24" i="8"/>
  <c r="G24" i="8"/>
  <c r="H24" i="8"/>
  <c r="C25" i="8"/>
  <c r="D25" i="8"/>
  <c r="E25" i="8"/>
  <c r="G25" i="8"/>
  <c r="H25" i="8"/>
  <c r="C26" i="8"/>
  <c r="D26" i="8"/>
  <c r="E26" i="8"/>
  <c r="G26" i="8"/>
  <c r="H26" i="8"/>
  <c r="C27" i="8"/>
  <c r="D27" i="8"/>
  <c r="E27" i="8"/>
  <c r="G27" i="8"/>
  <c r="H27" i="8"/>
  <c r="C28" i="8"/>
  <c r="D28" i="8"/>
  <c r="E28" i="8"/>
  <c r="G28" i="8"/>
  <c r="H28" i="8"/>
  <c r="C29" i="8"/>
  <c r="D29" i="8"/>
  <c r="E29" i="8"/>
  <c r="G29" i="8"/>
  <c r="H29" i="8"/>
  <c r="C30" i="8"/>
  <c r="D30" i="8"/>
  <c r="E30" i="8"/>
  <c r="G30" i="8"/>
  <c r="H30" i="8"/>
  <c r="C31" i="8"/>
  <c r="D31" i="8"/>
  <c r="E31" i="8"/>
  <c r="G31" i="8"/>
  <c r="H31" i="8"/>
  <c r="C32" i="8"/>
  <c r="D32" i="8"/>
  <c r="E32" i="8"/>
  <c r="G32" i="8"/>
  <c r="H32" i="8"/>
  <c r="C33" i="8"/>
  <c r="D33" i="8"/>
  <c r="E33" i="8"/>
  <c r="G33" i="8"/>
  <c r="H33" i="8"/>
  <c r="C34" i="8"/>
  <c r="D34" i="8"/>
  <c r="E34" i="8"/>
  <c r="G34" i="8"/>
  <c r="H34" i="8"/>
  <c r="C35" i="8"/>
  <c r="D35" i="8"/>
  <c r="E35" i="8"/>
  <c r="G35" i="8"/>
  <c r="H35" i="8"/>
  <c r="C36" i="8"/>
  <c r="D36" i="8"/>
  <c r="E36" i="8"/>
  <c r="G36" i="8"/>
  <c r="H36" i="8"/>
  <c r="C37" i="8"/>
  <c r="D37" i="8"/>
  <c r="E37" i="8"/>
  <c r="G37" i="8"/>
  <c r="H37" i="8"/>
  <c r="C38" i="8"/>
  <c r="D38" i="8"/>
  <c r="E38" i="8"/>
  <c r="G38" i="8"/>
  <c r="H38" i="8"/>
  <c r="C39" i="8"/>
  <c r="D39" i="8"/>
  <c r="E39" i="8"/>
  <c r="G39" i="8"/>
  <c r="H39" i="8"/>
  <c r="C40" i="8"/>
  <c r="D40" i="8"/>
  <c r="E40" i="8"/>
  <c r="G40" i="8"/>
  <c r="H40" i="8"/>
  <c r="C41" i="8"/>
  <c r="D41" i="8"/>
  <c r="E41" i="8"/>
  <c r="G41" i="8"/>
  <c r="H41" i="8"/>
  <c r="C42" i="8"/>
  <c r="D42" i="8"/>
  <c r="E42" i="8"/>
  <c r="G42" i="8"/>
  <c r="H42" i="8"/>
  <c r="C43" i="8"/>
  <c r="D43" i="8"/>
  <c r="E43" i="8"/>
  <c r="G43" i="8"/>
  <c r="H43" i="8"/>
  <c r="C44" i="8"/>
  <c r="D44" i="8"/>
  <c r="E44" i="8"/>
  <c r="G44" i="8"/>
  <c r="H44" i="8"/>
  <c r="C45" i="8"/>
  <c r="D45" i="8"/>
  <c r="E45" i="8"/>
  <c r="G45" i="8"/>
  <c r="H45" i="8"/>
  <c r="C46" i="8"/>
  <c r="D46" i="8"/>
  <c r="E46" i="8"/>
  <c r="G46" i="8"/>
  <c r="H46" i="8"/>
  <c r="C47" i="8"/>
  <c r="D47" i="8"/>
  <c r="E47" i="8"/>
  <c r="G47" i="8"/>
  <c r="H47" i="8"/>
  <c r="C48" i="8"/>
  <c r="D48" i="8"/>
  <c r="E48" i="8"/>
  <c r="G48" i="8"/>
  <c r="H48" i="8"/>
  <c r="C49" i="8"/>
  <c r="D49" i="8"/>
  <c r="E49" i="8"/>
  <c r="G49" i="8"/>
  <c r="H49" i="8"/>
  <c r="C50" i="8"/>
  <c r="D50" i="8"/>
  <c r="E50" i="8"/>
  <c r="G50" i="8"/>
  <c r="H50" i="8"/>
  <c r="C51" i="8"/>
  <c r="D51" i="8"/>
  <c r="E51" i="8"/>
  <c r="G51" i="8"/>
  <c r="H51" i="8"/>
  <c r="C52" i="8"/>
  <c r="D52" i="8"/>
  <c r="E52" i="8"/>
  <c r="G52" i="8"/>
  <c r="H52" i="8"/>
  <c r="C53" i="8"/>
  <c r="D53" i="8"/>
  <c r="E53" i="8"/>
  <c r="G53" i="8"/>
  <c r="H53" i="8"/>
  <c r="C54" i="8"/>
  <c r="D54" i="8"/>
  <c r="E54" i="8"/>
  <c r="G54" i="8"/>
  <c r="H54" i="8"/>
  <c r="C55" i="8"/>
  <c r="D55" i="8"/>
  <c r="E55" i="8"/>
  <c r="G55" i="8"/>
  <c r="H55" i="8"/>
  <c r="C56" i="8"/>
  <c r="D56" i="8"/>
  <c r="E56" i="8"/>
  <c r="G56" i="8"/>
  <c r="H56" i="8"/>
  <c r="C57" i="8"/>
  <c r="D57" i="8"/>
  <c r="E57" i="8"/>
  <c r="G57" i="8"/>
  <c r="H57" i="8"/>
  <c r="C58" i="8"/>
  <c r="D58" i="8"/>
  <c r="E58" i="8"/>
  <c r="G58" i="8"/>
  <c r="H58" i="8"/>
  <c r="C59" i="8"/>
  <c r="D59" i="8"/>
  <c r="E59" i="8"/>
  <c r="G59" i="8"/>
  <c r="H59" i="8"/>
  <c r="C60" i="8"/>
  <c r="D60" i="8"/>
  <c r="E60" i="8"/>
  <c r="G60" i="8"/>
  <c r="H60" i="8"/>
  <c r="C61" i="8"/>
  <c r="D61" i="8"/>
  <c r="E61" i="8"/>
  <c r="G61" i="8"/>
  <c r="H61" i="8"/>
  <c r="C62" i="8"/>
  <c r="D62" i="8"/>
  <c r="E62" i="8"/>
  <c r="G62" i="8"/>
  <c r="H62" i="8"/>
  <c r="C63" i="8"/>
  <c r="D63" i="8"/>
  <c r="E63" i="8"/>
  <c r="G63" i="8"/>
  <c r="H63" i="8"/>
  <c r="C64" i="8"/>
  <c r="D64" i="8"/>
  <c r="E64" i="8"/>
  <c r="G64" i="8"/>
  <c r="H64" i="8"/>
  <c r="C65" i="8"/>
  <c r="D65" i="8"/>
  <c r="E65" i="8"/>
  <c r="G65" i="8"/>
  <c r="H65" i="8"/>
  <c r="C66" i="8"/>
  <c r="D66" i="8"/>
  <c r="E66" i="8"/>
  <c r="G66" i="8"/>
  <c r="H66" i="8"/>
  <c r="C67" i="8"/>
  <c r="D67" i="8"/>
  <c r="E67" i="8"/>
  <c r="G67" i="8"/>
  <c r="H67" i="8"/>
  <c r="C68" i="8"/>
  <c r="D68" i="8"/>
  <c r="E68" i="8"/>
  <c r="G68" i="8"/>
  <c r="H68" i="8"/>
  <c r="C69" i="8"/>
  <c r="D69" i="8"/>
  <c r="E69" i="8"/>
  <c r="G69" i="8"/>
  <c r="H69" i="8"/>
  <c r="C70" i="8"/>
  <c r="D70" i="8"/>
  <c r="E70" i="8"/>
  <c r="G70" i="8"/>
  <c r="H70" i="8"/>
  <c r="C71" i="8"/>
  <c r="D71" i="8"/>
  <c r="E71" i="8"/>
  <c r="G71" i="8"/>
  <c r="H71" i="8"/>
  <c r="C72" i="8"/>
  <c r="D72" i="8"/>
  <c r="E72" i="8"/>
  <c r="G72" i="8"/>
  <c r="H72" i="8"/>
  <c r="C73" i="8"/>
  <c r="D73" i="8"/>
  <c r="E73" i="8"/>
  <c r="G73" i="8"/>
  <c r="H73" i="8"/>
  <c r="C74" i="8"/>
  <c r="D74" i="8"/>
  <c r="E74" i="8"/>
  <c r="G74" i="8"/>
  <c r="H74" i="8"/>
  <c r="C75" i="8"/>
  <c r="D75" i="8"/>
  <c r="E75" i="8"/>
  <c r="G75" i="8"/>
  <c r="H75" i="8"/>
  <c r="C76" i="8"/>
  <c r="D76" i="8"/>
  <c r="E76" i="8"/>
  <c r="G76" i="8"/>
  <c r="H76" i="8"/>
  <c r="C77" i="8"/>
  <c r="D77" i="8"/>
  <c r="E77" i="8"/>
  <c r="G77" i="8"/>
  <c r="H77" i="8"/>
  <c r="C78" i="8"/>
  <c r="D78" i="8"/>
  <c r="E78" i="8"/>
  <c r="G78" i="8"/>
  <c r="H78" i="8"/>
  <c r="C79" i="8"/>
  <c r="D79" i="8"/>
  <c r="E79" i="8"/>
  <c r="G79" i="8"/>
  <c r="H79" i="8"/>
  <c r="C80" i="8"/>
  <c r="D80" i="8"/>
  <c r="E80" i="8"/>
  <c r="G80" i="8"/>
  <c r="H80" i="8"/>
  <c r="C81" i="8"/>
  <c r="D81" i="8"/>
  <c r="E81" i="8"/>
  <c r="G81" i="8"/>
  <c r="H81" i="8"/>
  <c r="C82" i="8"/>
  <c r="D82" i="8"/>
  <c r="E82" i="8"/>
  <c r="G82" i="8"/>
  <c r="H82" i="8"/>
  <c r="C83" i="8"/>
  <c r="D83" i="8"/>
  <c r="E83" i="8"/>
  <c r="G83" i="8"/>
  <c r="H83" i="8"/>
  <c r="C84" i="8"/>
  <c r="D84" i="8"/>
  <c r="E84" i="8"/>
  <c r="G84" i="8"/>
  <c r="H84" i="8"/>
  <c r="C85" i="8"/>
  <c r="D85" i="8"/>
  <c r="E85" i="8"/>
  <c r="G85" i="8"/>
  <c r="H85" i="8"/>
  <c r="C86" i="8"/>
  <c r="D86" i="8"/>
  <c r="E86" i="8"/>
  <c r="G86" i="8"/>
  <c r="H86" i="8"/>
  <c r="C87" i="8"/>
  <c r="D87" i="8"/>
  <c r="E87" i="8"/>
  <c r="G87" i="8"/>
  <c r="H87" i="8"/>
  <c r="C88" i="8"/>
  <c r="D88" i="8"/>
  <c r="E88" i="8"/>
  <c r="G88" i="8"/>
  <c r="H88" i="8"/>
  <c r="C89" i="8"/>
  <c r="D89" i="8"/>
  <c r="E89" i="8"/>
  <c r="G89" i="8"/>
  <c r="H89" i="8"/>
  <c r="C90" i="8"/>
  <c r="D90" i="8"/>
  <c r="E90" i="8"/>
  <c r="G90" i="8"/>
  <c r="H90" i="8"/>
  <c r="C91" i="8"/>
  <c r="D91" i="8"/>
  <c r="E91" i="8"/>
  <c r="G91" i="8"/>
  <c r="H91" i="8"/>
  <c r="C92" i="8"/>
  <c r="D92" i="8"/>
  <c r="E92" i="8"/>
  <c r="G92" i="8"/>
  <c r="H92" i="8"/>
  <c r="C93" i="8"/>
  <c r="D93" i="8"/>
  <c r="E93" i="8"/>
  <c r="G93" i="8"/>
  <c r="H93" i="8"/>
  <c r="C94" i="8"/>
  <c r="D94" i="8"/>
  <c r="E94" i="8"/>
  <c r="G94" i="8"/>
  <c r="H94" i="8"/>
  <c r="C95" i="8"/>
  <c r="D95" i="8"/>
  <c r="E95" i="8"/>
  <c r="G95" i="8"/>
  <c r="H95" i="8"/>
  <c r="C96" i="8"/>
  <c r="D96" i="8"/>
  <c r="E96" i="8"/>
  <c r="G96" i="8"/>
  <c r="H96" i="8"/>
  <c r="C97" i="8"/>
  <c r="D97" i="8"/>
  <c r="E97" i="8"/>
  <c r="G97" i="8"/>
  <c r="H97" i="8"/>
  <c r="C98" i="8"/>
  <c r="D98" i="8"/>
  <c r="E98" i="8"/>
  <c r="G98" i="8"/>
  <c r="H98" i="8"/>
  <c r="C99" i="8"/>
  <c r="D99" i="8"/>
  <c r="E99" i="8"/>
  <c r="G99" i="8"/>
  <c r="H99" i="8"/>
  <c r="C100" i="8"/>
  <c r="D100" i="8"/>
  <c r="E100" i="8"/>
  <c r="G100" i="8"/>
  <c r="H100" i="8"/>
  <c r="C101" i="8"/>
  <c r="D101" i="8"/>
  <c r="E101" i="8"/>
  <c r="G101" i="8"/>
  <c r="H101" i="8"/>
  <c r="C102" i="8"/>
  <c r="D102" i="8"/>
  <c r="E102" i="8"/>
  <c r="G102" i="8"/>
  <c r="H102" i="8"/>
  <c r="C103" i="8"/>
  <c r="D103" i="8"/>
  <c r="E103" i="8"/>
  <c r="G103" i="8"/>
  <c r="H103" i="8"/>
  <c r="C104" i="8"/>
  <c r="D104" i="8"/>
  <c r="E104" i="8"/>
  <c r="G104" i="8"/>
  <c r="H104" i="8"/>
  <c r="C105" i="8"/>
  <c r="D105" i="8"/>
  <c r="E105" i="8"/>
  <c r="G105" i="8"/>
  <c r="H105" i="8"/>
  <c r="C106" i="8"/>
  <c r="D106" i="8"/>
  <c r="E106" i="8"/>
  <c r="G106" i="8"/>
  <c r="H106" i="8"/>
  <c r="C107" i="8"/>
  <c r="D107" i="8"/>
  <c r="E107" i="8"/>
  <c r="G107" i="8"/>
  <c r="H107" i="8"/>
  <c r="C108" i="8"/>
  <c r="D108" i="8"/>
  <c r="E108" i="8"/>
  <c r="G108" i="8"/>
  <c r="H108" i="8"/>
  <c r="C109" i="8"/>
  <c r="D109" i="8"/>
  <c r="E109" i="8"/>
  <c r="G109" i="8"/>
  <c r="H109" i="8"/>
  <c r="C110" i="8"/>
  <c r="D110" i="8"/>
  <c r="E110" i="8"/>
  <c r="G110" i="8"/>
  <c r="H110" i="8"/>
  <c r="C111" i="8"/>
  <c r="D111" i="8"/>
  <c r="E111" i="8"/>
  <c r="G111" i="8"/>
  <c r="H111" i="8"/>
  <c r="C112" i="8"/>
  <c r="D112" i="8"/>
  <c r="E112" i="8"/>
  <c r="G112" i="8"/>
  <c r="H112" i="8"/>
  <c r="C113" i="8"/>
  <c r="D113" i="8"/>
  <c r="E113" i="8"/>
  <c r="G113" i="8"/>
  <c r="H113" i="8"/>
  <c r="C114" i="8"/>
  <c r="D114" i="8"/>
  <c r="E114" i="8"/>
  <c r="G114" i="8"/>
  <c r="H114" i="8"/>
  <c r="C115" i="8"/>
  <c r="D115" i="8"/>
  <c r="E115" i="8"/>
  <c r="G115" i="8"/>
  <c r="H115" i="8"/>
  <c r="C116" i="8"/>
  <c r="D116" i="8"/>
  <c r="E116" i="8"/>
  <c r="G116" i="8"/>
  <c r="H116" i="8"/>
  <c r="C117" i="8"/>
  <c r="D117" i="8"/>
  <c r="E117" i="8"/>
  <c r="G117" i="8"/>
  <c r="H117" i="8"/>
  <c r="C118" i="8"/>
  <c r="D118" i="8"/>
  <c r="E118" i="8"/>
  <c r="G118" i="8"/>
  <c r="H118" i="8"/>
  <c r="C119" i="8"/>
  <c r="D119" i="8"/>
  <c r="E119" i="8"/>
  <c r="G119" i="8"/>
  <c r="H119" i="8"/>
  <c r="C120" i="8"/>
  <c r="D120" i="8"/>
  <c r="E120" i="8"/>
  <c r="G120" i="8"/>
  <c r="H120" i="8"/>
  <c r="C121" i="8"/>
  <c r="D121" i="8"/>
  <c r="E121" i="8"/>
  <c r="G121" i="8"/>
  <c r="H121" i="8"/>
  <c r="C122" i="8"/>
  <c r="D122" i="8"/>
  <c r="E122" i="8"/>
  <c r="G122" i="8"/>
  <c r="H122" i="8"/>
  <c r="C123" i="8"/>
  <c r="D123" i="8"/>
  <c r="E123" i="8"/>
  <c r="G123" i="8"/>
  <c r="H123" i="8"/>
  <c r="C124" i="8"/>
  <c r="D124" i="8"/>
  <c r="E124" i="8"/>
  <c r="G124" i="8"/>
  <c r="H124" i="8"/>
  <c r="C125" i="8"/>
  <c r="D125" i="8"/>
  <c r="E125" i="8"/>
  <c r="G125" i="8"/>
  <c r="H125" i="8"/>
  <c r="C126" i="8"/>
  <c r="D126" i="8"/>
  <c r="E126" i="8"/>
  <c r="G126" i="8"/>
  <c r="H126" i="8"/>
  <c r="C127" i="8"/>
  <c r="D127" i="8"/>
  <c r="E127" i="8"/>
  <c r="G127" i="8"/>
  <c r="H127" i="8"/>
  <c r="C128" i="8"/>
  <c r="D128" i="8"/>
  <c r="E128" i="8"/>
  <c r="G128" i="8"/>
  <c r="H128" i="8"/>
  <c r="C129" i="8"/>
  <c r="D129" i="8"/>
  <c r="E129" i="8"/>
  <c r="G129" i="8"/>
  <c r="H129" i="8"/>
  <c r="C130" i="8"/>
  <c r="D130" i="8"/>
  <c r="E130" i="8"/>
  <c r="G130" i="8"/>
  <c r="H130" i="8"/>
  <c r="C131" i="8"/>
  <c r="D131" i="8"/>
  <c r="E131" i="8"/>
  <c r="G131" i="8"/>
  <c r="H131" i="8"/>
  <c r="C132" i="8"/>
  <c r="D132" i="8"/>
  <c r="E132" i="8"/>
  <c r="G132" i="8"/>
  <c r="H132" i="8"/>
  <c r="C133" i="8"/>
  <c r="D133" i="8"/>
  <c r="E133" i="8"/>
  <c r="G133" i="8"/>
  <c r="H133" i="8"/>
  <c r="C134" i="8"/>
  <c r="D134" i="8"/>
  <c r="E134" i="8"/>
  <c r="G134" i="8"/>
  <c r="H134" i="8"/>
  <c r="C135" i="8"/>
  <c r="D135" i="8"/>
  <c r="E135" i="8"/>
  <c r="G135" i="8"/>
  <c r="H135" i="8"/>
  <c r="C136" i="8"/>
  <c r="D136" i="8"/>
  <c r="E136" i="8"/>
  <c r="G136" i="8"/>
  <c r="H136" i="8"/>
  <c r="C137" i="8"/>
  <c r="D137" i="8"/>
  <c r="E137" i="8"/>
  <c r="G137" i="8"/>
  <c r="H137" i="8"/>
  <c r="C138" i="8"/>
  <c r="D138" i="8"/>
  <c r="E138" i="8"/>
  <c r="G138" i="8"/>
  <c r="H138" i="8"/>
  <c r="C139" i="8"/>
  <c r="D139" i="8"/>
  <c r="E139" i="8"/>
  <c r="G139" i="8"/>
  <c r="H139" i="8"/>
  <c r="C140" i="8"/>
  <c r="D140" i="8"/>
  <c r="E140" i="8"/>
  <c r="G140" i="8"/>
  <c r="H140" i="8"/>
  <c r="C141" i="8"/>
  <c r="D141" i="8"/>
  <c r="E141" i="8"/>
  <c r="G141" i="8"/>
  <c r="H141" i="8"/>
  <c r="C142" i="8"/>
  <c r="D142" i="8"/>
  <c r="E142" i="8"/>
  <c r="G142" i="8"/>
  <c r="H142" i="8"/>
  <c r="C143" i="8"/>
  <c r="D143" i="8"/>
  <c r="E143" i="8"/>
  <c r="G143" i="8"/>
  <c r="H143" i="8"/>
  <c r="C144" i="8"/>
  <c r="D144" i="8"/>
  <c r="E144" i="8"/>
  <c r="G144" i="8"/>
  <c r="H144" i="8"/>
  <c r="C145" i="8"/>
  <c r="D145" i="8"/>
  <c r="E145" i="8"/>
  <c r="G145" i="8"/>
  <c r="H145" i="8"/>
  <c r="C146" i="8"/>
  <c r="D146" i="8"/>
  <c r="E146" i="8"/>
  <c r="G146" i="8"/>
  <c r="H146" i="8"/>
  <c r="C147" i="8"/>
  <c r="D147" i="8"/>
  <c r="E147" i="8"/>
  <c r="G147" i="8"/>
  <c r="H147" i="8"/>
  <c r="C148" i="8"/>
  <c r="D148" i="8"/>
  <c r="E148" i="8"/>
  <c r="G148" i="8"/>
  <c r="H148" i="8"/>
  <c r="C149" i="8"/>
  <c r="D149" i="8"/>
  <c r="E149" i="8"/>
  <c r="G149" i="8"/>
  <c r="H149" i="8"/>
  <c r="C150" i="8"/>
  <c r="D150" i="8"/>
  <c r="E150" i="8"/>
  <c r="G150" i="8"/>
  <c r="H150" i="8"/>
  <c r="C151" i="8"/>
  <c r="D151" i="8"/>
  <c r="E151" i="8"/>
  <c r="G151" i="8"/>
  <c r="H151" i="8"/>
  <c r="C152" i="8"/>
  <c r="D152" i="8"/>
  <c r="E152" i="8"/>
  <c r="G152" i="8"/>
  <c r="H152" i="8"/>
  <c r="C153" i="8"/>
  <c r="D153" i="8"/>
  <c r="E153" i="8"/>
  <c r="G153" i="8"/>
  <c r="H153" i="8"/>
  <c r="C154" i="8"/>
  <c r="D154" i="8"/>
  <c r="E154" i="8"/>
  <c r="G154" i="8"/>
  <c r="H154" i="8"/>
  <c r="C155" i="8"/>
  <c r="D155" i="8"/>
  <c r="E155" i="8"/>
  <c r="G155" i="8"/>
  <c r="H155" i="8"/>
  <c r="C156" i="8"/>
  <c r="D156" i="8"/>
  <c r="E156" i="8"/>
  <c r="G156" i="8"/>
  <c r="H156" i="8"/>
  <c r="C157" i="8"/>
  <c r="D157" i="8"/>
  <c r="E157" i="8"/>
  <c r="G157" i="8"/>
  <c r="H157" i="8"/>
  <c r="C158" i="8"/>
  <c r="D158" i="8"/>
  <c r="E158" i="8"/>
  <c r="G158" i="8"/>
  <c r="H158" i="8"/>
  <c r="C159" i="8"/>
  <c r="D159" i="8"/>
  <c r="E159" i="8"/>
  <c r="G159" i="8"/>
  <c r="H159" i="8"/>
  <c r="C160" i="8"/>
  <c r="D160" i="8"/>
  <c r="E160" i="8"/>
  <c r="G160" i="8"/>
  <c r="H160" i="8"/>
  <c r="C161" i="8"/>
  <c r="D161" i="8"/>
  <c r="E161" i="8"/>
  <c r="G161" i="8"/>
  <c r="H161" i="8"/>
  <c r="C162" i="8"/>
  <c r="D162" i="8"/>
  <c r="E162" i="8"/>
  <c r="G162" i="8"/>
  <c r="H162" i="8"/>
  <c r="C163" i="8"/>
  <c r="D163" i="8"/>
  <c r="E163" i="8"/>
  <c r="G163" i="8"/>
  <c r="H163" i="8"/>
  <c r="C164" i="8"/>
  <c r="D164" i="8"/>
  <c r="E164" i="8"/>
  <c r="G164" i="8"/>
  <c r="H164" i="8"/>
  <c r="C165" i="8"/>
  <c r="D165" i="8"/>
  <c r="E165" i="8"/>
  <c r="G165" i="8"/>
  <c r="H165" i="8"/>
  <c r="C166" i="8"/>
  <c r="D166" i="8"/>
  <c r="E166" i="8"/>
  <c r="G166" i="8"/>
  <c r="H166" i="8"/>
  <c r="C167" i="8"/>
  <c r="D167" i="8"/>
  <c r="E167" i="8"/>
  <c r="G167" i="8"/>
  <c r="H167" i="8"/>
  <c r="C168" i="8"/>
  <c r="D168" i="8"/>
  <c r="E168" i="8"/>
  <c r="G168" i="8"/>
  <c r="H168" i="8"/>
  <c r="C169" i="8"/>
  <c r="D169" i="8"/>
  <c r="E169" i="8"/>
  <c r="G169" i="8"/>
  <c r="H169" i="8"/>
  <c r="C170" i="8"/>
  <c r="D170" i="8"/>
  <c r="E170" i="8"/>
  <c r="G170" i="8"/>
  <c r="H170" i="8"/>
  <c r="C171" i="8"/>
  <c r="D171" i="8"/>
  <c r="E171" i="8"/>
  <c r="G171" i="8"/>
  <c r="H171" i="8"/>
  <c r="C172" i="8"/>
  <c r="D172" i="8"/>
  <c r="E172" i="8"/>
  <c r="G172" i="8"/>
  <c r="H172" i="8"/>
  <c r="C173" i="8"/>
  <c r="D173" i="8"/>
  <c r="E173" i="8"/>
  <c r="G173" i="8"/>
  <c r="H173" i="8"/>
  <c r="C174" i="8"/>
  <c r="D174" i="8"/>
  <c r="E174" i="8"/>
  <c r="G174" i="8"/>
  <c r="H174" i="8"/>
  <c r="C175" i="8"/>
  <c r="D175" i="8"/>
  <c r="E175" i="8"/>
  <c r="G175" i="8"/>
  <c r="H175" i="8"/>
  <c r="C176" i="8"/>
  <c r="D176" i="8"/>
  <c r="E176" i="8"/>
  <c r="G176" i="8"/>
  <c r="H176" i="8"/>
  <c r="C177" i="8"/>
  <c r="D177" i="8"/>
  <c r="E177" i="8"/>
  <c r="G177" i="8"/>
  <c r="H177" i="8"/>
  <c r="C178" i="8"/>
  <c r="D178" i="8"/>
  <c r="E178" i="8"/>
  <c r="G178" i="8"/>
  <c r="H178" i="8"/>
  <c r="C179" i="8"/>
  <c r="D179" i="8"/>
  <c r="E179" i="8"/>
  <c r="G179" i="8"/>
  <c r="H179" i="8"/>
  <c r="C180" i="8"/>
  <c r="D180" i="8"/>
  <c r="E180" i="8"/>
  <c r="G180" i="8"/>
  <c r="H180" i="8"/>
  <c r="C181" i="8"/>
  <c r="D181" i="8"/>
  <c r="E181" i="8"/>
  <c r="G181" i="8"/>
  <c r="H181" i="8"/>
  <c r="C182" i="8"/>
  <c r="D182" i="8"/>
  <c r="E182" i="8"/>
  <c r="G182" i="8"/>
  <c r="H182" i="8"/>
  <c r="C183" i="8"/>
  <c r="D183" i="8"/>
  <c r="E183" i="8"/>
  <c r="G183" i="8"/>
  <c r="H183" i="8"/>
  <c r="C184" i="8"/>
  <c r="D184" i="8"/>
  <c r="E184" i="8"/>
  <c r="G184" i="8"/>
  <c r="H184" i="8"/>
  <c r="C185" i="8"/>
  <c r="D185" i="8"/>
  <c r="E185" i="8"/>
  <c r="G185" i="8"/>
  <c r="H185" i="8"/>
  <c r="C186" i="8"/>
  <c r="D186" i="8"/>
  <c r="E186" i="8"/>
  <c r="G186" i="8"/>
  <c r="H186" i="8"/>
  <c r="C187" i="8"/>
  <c r="D187" i="8"/>
  <c r="E187" i="8"/>
  <c r="G187" i="8"/>
  <c r="H187" i="8"/>
  <c r="C188" i="8"/>
  <c r="D188" i="8"/>
  <c r="E188" i="8"/>
  <c r="G188" i="8"/>
  <c r="H188" i="8"/>
  <c r="C189" i="8"/>
  <c r="D189" i="8"/>
  <c r="E189" i="8"/>
  <c r="G189" i="8"/>
  <c r="H189" i="8"/>
  <c r="C190" i="8"/>
  <c r="D190" i="8"/>
  <c r="E190" i="8"/>
  <c r="G190" i="8"/>
  <c r="H190" i="8"/>
  <c r="C191" i="8"/>
  <c r="D191" i="8"/>
  <c r="E191" i="8"/>
  <c r="G191" i="8"/>
  <c r="H191" i="8"/>
  <c r="C192" i="8"/>
  <c r="D192" i="8"/>
  <c r="E192" i="8"/>
  <c r="G192" i="8"/>
  <c r="H192" i="8"/>
  <c r="C193" i="8"/>
  <c r="D193" i="8"/>
  <c r="E193" i="8"/>
  <c r="G193" i="8"/>
  <c r="H193" i="8"/>
  <c r="C194" i="8"/>
  <c r="D194" i="8"/>
  <c r="E194" i="8"/>
  <c r="G194" i="8"/>
  <c r="H194" i="8"/>
  <c r="C195" i="8"/>
  <c r="D195" i="8"/>
  <c r="E195" i="8"/>
  <c r="G195" i="8"/>
  <c r="H195" i="8"/>
  <c r="C196" i="8"/>
  <c r="D196" i="8"/>
  <c r="E196" i="8"/>
  <c r="G196" i="8"/>
  <c r="H196" i="8"/>
  <c r="C197" i="8"/>
  <c r="D197" i="8"/>
  <c r="E197" i="8"/>
  <c r="G197" i="8"/>
  <c r="H197" i="8"/>
  <c r="C198" i="8"/>
  <c r="D198" i="8"/>
  <c r="E198" i="8"/>
  <c r="G198" i="8"/>
  <c r="H198" i="8"/>
  <c r="C199" i="8"/>
  <c r="D199" i="8"/>
  <c r="E199" i="8"/>
  <c r="G199" i="8"/>
  <c r="H199" i="8"/>
  <c r="C200" i="8"/>
  <c r="D200" i="8"/>
  <c r="E200" i="8"/>
  <c r="G200" i="8"/>
  <c r="C201" i="8"/>
  <c r="D201" i="8"/>
  <c r="E201" i="8"/>
  <c r="C202" i="8"/>
  <c r="D202" i="8"/>
  <c r="E202" i="8"/>
  <c r="C203" i="8"/>
  <c r="D203" i="8"/>
  <c r="E203" i="8"/>
  <c r="C2" i="8"/>
  <c r="D2" i="8"/>
  <c r="E2" i="8"/>
  <c r="G2" i="8"/>
  <c r="H2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A21" i="10" l="1"/>
  <c r="A20" i="10"/>
  <c r="A50" i="10"/>
  <c r="A48" i="10"/>
  <c r="A47" i="10"/>
  <c r="A24" i="10"/>
  <c r="A23" i="10"/>
  <c r="A22" i="10"/>
  <c r="A53" i="10"/>
  <c r="A19" i="10"/>
  <c r="A44" i="10"/>
  <c r="A18" i="10"/>
  <c r="A17" i="10"/>
  <c r="A16" i="10"/>
  <c r="A67" i="10"/>
  <c r="A41" i="10"/>
  <c r="A15" i="10"/>
  <c r="A66" i="10"/>
  <c r="A65" i="10"/>
  <c r="A39" i="10"/>
  <c r="A13" i="10"/>
  <c r="A38" i="10"/>
  <c r="A11" i="10"/>
  <c r="A63" i="10"/>
  <c r="A37" i="10"/>
  <c r="A10" i="10"/>
  <c r="A62" i="10"/>
  <c r="A36" i="10"/>
  <c r="A9" i="10"/>
  <c r="A61" i="10"/>
  <c r="A35" i="10"/>
  <c r="A6" i="10"/>
  <c r="A60" i="10"/>
  <c r="A59" i="10"/>
  <c r="A32" i="10"/>
  <c r="A3" i="10"/>
  <c r="A45" i="10"/>
  <c r="A43" i="10"/>
  <c r="A42" i="10"/>
  <c r="A14" i="10"/>
  <c r="A31" i="10"/>
  <c r="A46" i="10"/>
  <c r="A64" i="10"/>
  <c r="A58" i="10"/>
  <c r="A57" i="10"/>
  <c r="A28" i="10"/>
  <c r="A55" i="10"/>
  <c r="A26" i="10"/>
  <c r="A40" i="10"/>
  <c r="A33" i="10"/>
  <c r="A4" i="10"/>
  <c r="A54" i="10"/>
  <c r="A25" i="10"/>
  <c r="A56" i="10"/>
  <c r="A34" i="10"/>
  <c r="A12" i="10"/>
  <c r="A52" i="10"/>
  <c r="A30" i="10"/>
  <c r="A8" i="10"/>
  <c r="A51" i="10"/>
  <c r="A29" i="10"/>
  <c r="A7" i="10"/>
  <c r="A49" i="10"/>
  <c r="A27" i="10"/>
  <c r="A5" i="10"/>
  <c r="U69" i="8"/>
  <c r="U186" i="8"/>
  <c r="U120" i="8"/>
  <c r="F23" i="8"/>
  <c r="F22" i="8"/>
  <c r="F21" i="8"/>
  <c r="F129" i="8"/>
  <c r="F20" i="8"/>
  <c r="F19" i="8"/>
  <c r="U167" i="8"/>
  <c r="U168" i="8" s="1"/>
  <c r="U128" i="8"/>
  <c r="U90" i="8"/>
  <c r="F57" i="8"/>
  <c r="F56" i="8"/>
  <c r="U86" i="8"/>
  <c r="U87" i="8" s="1"/>
  <c r="F55" i="8"/>
  <c r="U192" i="8"/>
  <c r="U38" i="8"/>
  <c r="F37" i="8"/>
  <c r="U155" i="8"/>
  <c r="U35" i="8"/>
  <c r="F46" i="8"/>
  <c r="F45" i="8"/>
  <c r="F44" i="8"/>
  <c r="F43" i="8"/>
  <c r="U110" i="8"/>
  <c r="U111" i="8" s="1"/>
  <c r="F42" i="8"/>
  <c r="F105" i="8"/>
  <c r="F173" i="8"/>
  <c r="F156" i="8"/>
  <c r="F85" i="8"/>
  <c r="U134" i="8"/>
  <c r="F68" i="8"/>
  <c r="U95" i="8"/>
  <c r="F144" i="8"/>
  <c r="F67" i="8"/>
  <c r="F152" i="8"/>
  <c r="F65" i="8"/>
  <c r="U201" i="8"/>
  <c r="F64" i="8"/>
  <c r="F63" i="8"/>
  <c r="U197" i="8"/>
  <c r="U194" i="8"/>
  <c r="U158" i="8"/>
  <c r="F200" i="8"/>
  <c r="F130" i="8"/>
  <c r="F198" i="8"/>
  <c r="F112" i="8"/>
  <c r="F197" i="8"/>
  <c r="F111" i="8"/>
  <c r="F41" i="8"/>
  <c r="F196" i="8"/>
  <c r="F110" i="8"/>
  <c r="F24" i="8"/>
  <c r="U62" i="8"/>
  <c r="F88" i="8"/>
  <c r="F87" i="8"/>
  <c r="F82" i="8"/>
  <c r="F86" i="8"/>
  <c r="F174" i="8"/>
  <c r="U21" i="8"/>
  <c r="U138" i="8"/>
  <c r="U18" i="8"/>
  <c r="F155" i="8"/>
  <c r="F154" i="8"/>
  <c r="U131" i="8"/>
  <c r="F153" i="8"/>
  <c r="U92" i="8"/>
  <c r="F66" i="8"/>
  <c r="F151" i="8"/>
  <c r="F134" i="8"/>
  <c r="F133" i="8"/>
  <c r="F132" i="8"/>
  <c r="U161" i="8"/>
  <c r="F131" i="8"/>
  <c r="F199" i="8"/>
  <c r="F195" i="8"/>
  <c r="F109" i="8"/>
  <c r="F178" i="8"/>
  <c r="F108" i="8"/>
  <c r="F177" i="8"/>
  <c r="F107" i="8"/>
  <c r="F176" i="8"/>
  <c r="F90" i="8"/>
  <c r="U23" i="8"/>
  <c r="F175" i="8"/>
  <c r="F89" i="8"/>
  <c r="F17" i="8"/>
  <c r="F84" i="8"/>
  <c r="F193" i="8"/>
  <c r="F61" i="8"/>
  <c r="F170" i="8"/>
  <c r="F126" i="8"/>
  <c r="F60" i="8"/>
  <c r="F191" i="8"/>
  <c r="F125" i="8"/>
  <c r="F81" i="8"/>
  <c r="F59" i="8"/>
  <c r="F80" i="8"/>
  <c r="F79" i="8"/>
  <c r="F186" i="8"/>
  <c r="F164" i="8"/>
  <c r="F142" i="8"/>
  <c r="F120" i="8"/>
  <c r="F98" i="8"/>
  <c r="F76" i="8"/>
  <c r="F54" i="8"/>
  <c r="F32" i="8"/>
  <c r="F10" i="8"/>
  <c r="F194" i="8"/>
  <c r="F150" i="8"/>
  <c r="F128" i="8"/>
  <c r="F106" i="8"/>
  <c r="F18" i="8"/>
  <c r="F171" i="8"/>
  <c r="F149" i="8"/>
  <c r="F83" i="8"/>
  <c r="F192" i="8"/>
  <c r="F148" i="8"/>
  <c r="F104" i="8"/>
  <c r="F16" i="8"/>
  <c r="F169" i="8"/>
  <c r="F147" i="8"/>
  <c r="F103" i="8"/>
  <c r="F15" i="8"/>
  <c r="F14" i="8"/>
  <c r="F189" i="8"/>
  <c r="F167" i="8"/>
  <c r="F145" i="8"/>
  <c r="F101" i="8"/>
  <c r="F13" i="8"/>
  <c r="F188" i="8"/>
  <c r="F122" i="8"/>
  <c r="F12" i="8"/>
  <c r="F187" i="8"/>
  <c r="F121" i="8"/>
  <c r="F33" i="8"/>
  <c r="F163" i="8"/>
  <c r="F97" i="8"/>
  <c r="F9" i="8"/>
  <c r="F184" i="8"/>
  <c r="F140" i="8"/>
  <c r="F96" i="8"/>
  <c r="F74" i="8"/>
  <c r="F30" i="8"/>
  <c r="F183" i="8"/>
  <c r="F161" i="8"/>
  <c r="F139" i="8"/>
  <c r="F117" i="8"/>
  <c r="F95" i="8"/>
  <c r="F73" i="8"/>
  <c r="F51" i="8"/>
  <c r="F7" i="8"/>
  <c r="F2" i="8"/>
  <c r="F182" i="8"/>
  <c r="F160" i="8"/>
  <c r="F138" i="8"/>
  <c r="F116" i="8"/>
  <c r="F94" i="8"/>
  <c r="F72" i="8"/>
  <c r="F50" i="8"/>
  <c r="F28" i="8"/>
  <c r="F6" i="8"/>
  <c r="F40" i="8"/>
  <c r="F39" i="8"/>
  <c r="F190" i="8"/>
  <c r="F168" i="8"/>
  <c r="F146" i="8"/>
  <c r="F124" i="8"/>
  <c r="F102" i="8"/>
  <c r="F36" i="8"/>
  <c r="F123" i="8"/>
  <c r="F35" i="8"/>
  <c r="F166" i="8"/>
  <c r="F100" i="8"/>
  <c r="F34" i="8"/>
  <c r="F143" i="8"/>
  <c r="F77" i="8"/>
  <c r="F11" i="8"/>
  <c r="F141" i="8"/>
  <c r="F31" i="8"/>
  <c r="F162" i="8"/>
  <c r="F118" i="8"/>
  <c r="F52" i="8"/>
  <c r="F8" i="8"/>
  <c r="F29" i="8"/>
  <c r="U173" i="8"/>
  <c r="F203" i="8"/>
  <c r="F181" i="8"/>
  <c r="F159" i="8"/>
  <c r="F137" i="8"/>
  <c r="F115" i="8"/>
  <c r="F93" i="8"/>
  <c r="F71" i="8"/>
  <c r="F49" i="8"/>
  <c r="F27" i="8"/>
  <c r="F5" i="8"/>
  <c r="F127" i="8"/>
  <c r="F172" i="8"/>
  <c r="F62" i="8"/>
  <c r="F58" i="8"/>
  <c r="F78" i="8"/>
  <c r="F165" i="8"/>
  <c r="F99" i="8"/>
  <c r="F185" i="8"/>
  <c r="F119" i="8"/>
  <c r="F75" i="8"/>
  <c r="F53" i="8"/>
  <c r="F202" i="8"/>
  <c r="F180" i="8"/>
  <c r="F158" i="8"/>
  <c r="F136" i="8"/>
  <c r="F114" i="8"/>
  <c r="F92" i="8"/>
  <c r="F70" i="8"/>
  <c r="F48" i="8"/>
  <c r="F26" i="8"/>
  <c r="F4" i="8"/>
  <c r="F201" i="8"/>
  <c r="F179" i="8"/>
  <c r="F157" i="8"/>
  <c r="F135" i="8"/>
  <c r="F113" i="8"/>
  <c r="F91" i="8"/>
  <c r="F69" i="8"/>
  <c r="F47" i="8"/>
  <c r="F25" i="8"/>
  <c r="U36" i="8" l="1"/>
  <c r="U156" i="8"/>
  <c r="U129" i="8"/>
  <c r="U39" i="8"/>
  <c r="U195" i="8"/>
  <c r="U174" i="8"/>
  <c r="U96" i="8"/>
  <c r="U162" i="8"/>
  <c r="U24" i="8"/>
  <c r="U132" i="8"/>
  <c r="U135" i="8"/>
  <c r="U198" i="8"/>
  <c r="U63" i="8"/>
  <c r="U93" i="8"/>
  <c r="U15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nguồn</author>
  </authors>
  <commentList>
    <comment ref="C42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PBoC Financial Statistics Report Q1 2026 (2026-03). RMB+FX loans / RMB+FX deposits (all financial institutions). 284.51/350.23 trn yuan https://www.pbc.gov.cn/en/3688247/3688978/3709137/2026041614530685906/index.html</t>
        </r>
      </text>
    </comment>
    <comment ref="B43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Thoi bao Tai chinh Viet Nam (SBV press conf) (2026-06). simple system loans/deposits (SBV officials). SBV quoted range 112-114% as of 15/06/2026; midpoint used; pub 2026-07-02 https://thoibaotaichinhvietnam.vn/huy-dong-duoi-suc-truoc-da-tang-tin-dung-nhieu-nam-day-ldr-vot-len-114-200024.html</t>
        </r>
      </text>
    </comment>
    <comment ref="C43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PBoC Financial Statistics Report H1 2026 (2026-06). RMB+FX loans / RMB+FX deposits (all financial institutions). 286.43/354.33 trn yuan https://www.pbc.gov.cn/en/3688247/3688978/3709137/2026071615101246166/index.html</t>
        </r>
      </text>
    </comment>
    <comment ref="D43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News On AIR (RBI) (2026-06). credit/deposit ratio scheduled commercial banks (RBI fortnightly). computed 220.59/263.86 lakh crore INR fortnight 15-Jun-2026 https://newsonair.gov.in/rbi-says-bank-credit-rises-marginally-deposits-decline-slightly/</t>
        </r>
      </text>
    </comment>
    <comment ref="G43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CNN Indonesia (OJK) (2026-06). LDR commercial banks (OJK). verified in article; pub 2026-08-04 https://www.cnnindonesia.com/ekonomi/20260803215846-78-1388216/ojk-kredit-perbankan-tumbuh-1267-persen-hingga-juni-2026</t>
        </r>
      </text>
    </comment>
    <comment ref="H4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Business Today Malaysia (RHB) (2026-06). system LDR (BNM monthly data; RHB Research). -0.4pp YoY; value from search snippet https://www.businesstoday.com.my/2026/08/03/rhb-ib-sees-loan-growth-staying-on-track-for-full-year-forecast-between-5-5-5/</t>
        </r>
      </text>
    </comment>
    <comment ref="I43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EdgeX news (BSP data) (2026-06). gross loans / deposits; banking system (BSP). 17.781/22.394 trn PHP; pub 2026-07-28 https://pro.edgex.exchange/en-US/news/article/philippines-loan-to-deposit-ratio-falling-by-2050</t>
        </r>
      </text>
    </comment>
    <comment ref="J4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dulieukinhte API (NHNN) (2026-06). api.dulieukinhte.com series 33265/33446/33447</t>
        </r>
      </text>
    </comment>
    <comment ref="K4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dulieukinhte API (NHNN) (2026-06). api.dulieukinhte.com series 33265/33446/33447</t>
        </r>
      </text>
    </comment>
    <comment ref="L4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dulieukinhte API (NHNN) (2026-06). api.dulieukinhte.com series 33265/33446/33447</t>
        </r>
      </text>
    </comment>
    <comment ref="M4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dulieukinhte API (NHNN) (2026-06). api.dulieukinhte.com series 33265/33446/33447</t>
        </r>
      </text>
    </comment>
  </commentList>
</comments>
</file>

<file path=xl/sharedStrings.xml><?xml version="1.0" encoding="utf-8"?>
<sst xmlns="http://schemas.openxmlformats.org/spreadsheetml/2006/main" count="412" uniqueCount="74">
  <si>
    <t>time</t>
  </si>
  <si>
    <t>Vàng SJC bán (VND/lượng)</t>
  </si>
  <si>
    <t>Vàng thế giới quy đổi (VND/lượng)</t>
  </si>
  <si>
    <t>USD/VND VCB bán</t>
  </si>
  <si>
    <t>VN-Index</t>
  </si>
  <si>
    <t>LS tiết kiệm 12T Big4 BQ tháng (%)</t>
  </si>
  <si>
    <t>M2 (tỷ VND)</t>
  </si>
  <si>
    <t>Dư nợ tín dụng (tỷ VND)</t>
  </si>
  <si>
    <t>Tăng trưởng GDP thực so cùng kỳ (quý, %)</t>
  </si>
  <si>
    <t>Fed - cận trên (%)</t>
  </si>
  <si>
    <t>Fed - cận dưới (%)</t>
  </si>
  <si>
    <t>Fed - EFFR (%)</t>
  </si>
  <si>
    <t>NHNN - LS tái cấp vốn (%)</t>
  </si>
  <si>
    <t>NHNN - LS tái chiết khấu (%)</t>
  </si>
  <si>
    <t>Dư nợ tín dụng toàn nền KT (tỷ VND)</t>
  </si>
  <si>
    <t>Dư nợ - Nông, lâm, thủy sản (tỷ VND)</t>
  </si>
  <si>
    <t>Dư nợ - Công nghiệp (tỷ VND)</t>
  </si>
  <si>
    <t>Dư nợ - Xây dựng (tỷ VND)</t>
  </si>
  <si>
    <t>Dư nợ - Thương mại (tỷ VND)</t>
  </si>
  <si>
    <t>Dư nợ - Vận tải, viễn thông (tỷ VND)</t>
  </si>
  <si>
    <t>Dư nợ - Khác (tỷ VND)</t>
  </si>
  <si>
    <t>Tăng trưởng dư nợ so cùng kỳ (tính từ số dư, %)</t>
  </si>
  <si>
    <t>Tăng trưởng tín dụng so cuối năm trước (công bố, %)</t>
  </si>
  <si>
    <t>Tăng trưởng tín dụng so cùng kỳ (công bố, %)</t>
  </si>
  <si>
    <t>GDP danh nghĩa quý (tỷ VND)</t>
  </si>
  <si>
    <t>GDP danh nghĩa 4 quý gần nhất (tỷ VND)</t>
  </si>
  <si>
    <t>Hệ số điều chỉnh gốc GDP</t>
  </si>
  <si>
    <t>GDP danh nghĩa quý - gốc mới (tỷ VND)</t>
  </si>
  <si>
    <t>GDP danh nghĩa 4 quý gần nhất - gốc mới (tỷ VND)</t>
  </si>
  <si>
    <t>GDP danh nghĩa năm - World Bank (tỷ VND)</t>
  </si>
  <si>
    <t>Tăng trưởng GDP danh nghĩa so cùng kỳ - gốc mới (%)</t>
  </si>
  <si>
    <t>Tăng trưởng GDP thực so cùng kỳ (%)</t>
  </si>
  <si>
    <t>Dư nợ tín dụng / GDP 4 quý - gốc mới (%)</t>
  </si>
  <si>
    <t>Dư nợ tín dụng / GDP 4 quý - số file gốc (%)</t>
  </si>
  <si>
    <t>Tăng trưởng tín dụng cả năm - NHNN công bố (%)</t>
  </si>
  <si>
    <t>Xuất khẩu (tỷ USD)</t>
  </si>
  <si>
    <t>Nhập khẩu (tỷ USD)</t>
  </si>
  <si>
    <t>Cán cân thương mại (tỷ USD)</t>
  </si>
  <si>
    <t>Cán cân thương mại lũy kế 12 tháng (tỷ USD)</t>
  </si>
  <si>
    <t>Nhập khẩu 12 tháng gần nhất (tỷ USD)</t>
  </si>
  <si>
    <t>Số tháng NK - WB công bố (hàng hóa &amp; dịch vụ)</t>
  </si>
  <si>
    <t>Dự trữ ngoại hối gồm vàng (tỷ USD)</t>
  </si>
  <si>
    <t>Dự trữ ngoại hối không gồm vàng (tỷ USD)</t>
  </si>
  <si>
    <t>Dự trữ / số tháng nhập khẩu (tháng)</t>
  </si>
  <si>
    <t>Nguồn dự trữ</t>
  </si>
  <si>
    <t>IMF IL (api.imf.org, IMF.STA:IL 13.0.1) TRGNV_REVS / RXF11_REVS, USD</t>
  </si>
  <si>
    <t>Vietnam</t>
  </si>
  <si>
    <t>China</t>
  </si>
  <si>
    <t>India</t>
  </si>
  <si>
    <t>Indonesia</t>
  </si>
  <si>
    <t>Malaysia</t>
  </si>
  <si>
    <t>Philippines</t>
  </si>
  <si>
    <t>Singapore</t>
  </si>
  <si>
    <t>Thailand</t>
  </si>
  <si>
    <t>VN - Dư nợ tín dụng (tỷ VND)</t>
  </si>
  <si>
    <t>VN - Tiền gửi TCKT (tỷ VND)</t>
  </si>
  <si>
    <t>VN - Tiền gửi dân cư (tỷ VND)</t>
  </si>
  <si>
    <t>VN - Tổng huy động (tỷ VND)</t>
  </si>
  <si>
    <t>VN - LDR tự tính = dư nợ / tổng huy động (%)</t>
  </si>
  <si>
    <t>Thời gian</t>
  </si>
  <si>
    <t>GDP theo giá hiện hành (tỷ VND)</t>
  </si>
  <si>
    <t/>
  </si>
  <si>
    <t>GDP ( giá hiện hành)</t>
  </si>
  <si>
    <t>Vàng SJC (VND/lượng)</t>
  </si>
  <si>
    <t>Vàng thế giới quy đổi</t>
  </si>
  <si>
    <t>USD/VND VCB</t>
  </si>
  <si>
    <t>LS tiết kiệm 12T Big4 BQ</t>
  </si>
  <si>
    <t>Tín dụng/ GDP</t>
  </si>
  <si>
    <t>Quý</t>
  </si>
  <si>
    <t>Xuất khẩu quý (tỷ USD)</t>
  </si>
  <si>
    <t>Nhập khẩu quý (tỷ USD)</t>
  </si>
  <si>
    <t>Cán cân thương mại quý (tỷ USD)</t>
  </si>
  <si>
    <t>Dự trữ (gồm vàng) / số tháng nhập khẩu (tháng)</t>
  </si>
  <si>
    <t>Lũy kế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</si>
</sst>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6" formatCode="_(* #,##0_);_(* \(#,##0\);_(* &quot;-&quot;??_);_(@_)"/>
    <numFmt numFmtId="171" formatCode="0.0%"/>
    <numFmt numFmtId="172" formatCode="dd/mm/yyyy"/>
    <numFmt numFmtId="174" formatCode="#,##0.00;\(#,##0.00\);\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  <scheme val="minor"/>
    </font>
    <font>
      <sz val="11"/>
      <color rgb="FF008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0" fontId="4" fillId="0" borderId="1" xfId="0" applyFont="1" applyBorder="1" applyAlignment="1">
      <alignment horizontal="center" vertical="top"/>
    </xf>
    <xf numFmtId="166" fontId="0" fillId="0" borderId="0" xfId="1" applyNumberFormat="1" applyFont="1"/>
    <xf numFmtId="9" fontId="0" fillId="0" borderId="0" xfId="2" applyFont="1"/>
    <xf numFmtId="171" fontId="0" fillId="0" borderId="0" xfId="2" applyNumberFormat="1" applyFont="1"/>
    <xf numFmtId="0" fontId="6" fillId="0" borderId="1" xfId="0" applyFont="1" applyBorder="1" applyAlignment="1">
      <alignment horizontal="center" vertical="top"/>
    </xf>
    <xf numFmtId="3" fontId="7" fillId="0" borderId="0" xfId="0" applyNumberFormat="1" applyFont="1"/>
    <xf numFmtId="166" fontId="7" fillId="0" borderId="0" xfId="1" applyNumberFormat="1" applyFont="1"/>
    <xf numFmtId="0" fontId="7" fillId="0" borderId="0" xfId="0" applyFont="1"/>
    <xf numFmtId="172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174" fontId="0" fillId="0" borderId="0" xfId="0" applyNumberFormat="1"/>
    <xf numFmtId="174" fontId="8" fillId="0" borderId="0" xfId="0" applyNumberFormat="1" applyFont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171" fontId="7" fillId="0" borderId="0" xfId="2" applyNumberFormat="1" applyFont="1"/>
    <xf numFmtId="0" fontId="1" fillId="3" borderId="1" xfId="0" applyFont="1" applyFill="1" applyBorder="1" applyAlignment="1">
      <alignment horizontal="center" vertical="top"/>
    </xf>
    <xf numFmtId="4" fontId="0" fillId="3" borderId="0" xfId="0" applyNumberFormat="1" applyFill="1"/>
  </cellXfs>
  <cellStyles count="4">
    <cellStyle name="Comma" xfId="1" builtinId="3"/>
    <cellStyle name="Normal" xfId="0" builtinId="0"/>
    <cellStyle name="Normal 2" xfId="3" xr:uid="{1A0CC202-C12D-456F-A384-D9A056008260}"/>
    <cellStyle name="Percent" xfId="2" builtinId="5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sánh</a:t>
            </a:r>
            <a:r>
              <a:rPr lang="en-US" baseline="0"/>
              <a:t> các kênh đầu tư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'1_Kenh_dau_tu'!$B$1</c:f>
              <c:strCache>
                <c:ptCount val="1"/>
                <c:pt idx="0">
                  <c:v>Vàng SJC (VND/lượng)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'1_Kenh_dau_tu'!$A$2:$A$203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'1_Kenh_dau_tu'!$B$2:$B$203</c:f>
              <c:numCache>
                <c:formatCode>0.0%</c:formatCode>
                <c:ptCount val="202"/>
                <c:pt idx="0">
                  <c:v>0</c:v>
                </c:pt>
                <c:pt idx="1">
                  <c:v>6.8130204390612903E-3</c:v>
                </c:pt>
                <c:pt idx="2">
                  <c:v>-1.097653292959877E-2</c:v>
                </c:pt>
                <c:pt idx="3">
                  <c:v>5.2990158970476209E-3</c:v>
                </c:pt>
                <c:pt idx="4">
                  <c:v>4.9205147615442923E-2</c:v>
                </c:pt>
                <c:pt idx="5">
                  <c:v>8.251324753974254E-2</c:v>
                </c:pt>
                <c:pt idx="6">
                  <c:v>5.1097653292959899E-2</c:v>
                </c:pt>
                <c:pt idx="7">
                  <c:v>9.5760787282361814E-2</c:v>
                </c:pt>
                <c:pt idx="8">
                  <c:v>0.18281604844814536</c:v>
                </c:pt>
                <c:pt idx="9">
                  <c:v>0.26419379258137776</c:v>
                </c:pt>
                <c:pt idx="10">
                  <c:v>0.36071158213474641</c:v>
                </c:pt>
                <c:pt idx="11">
                  <c:v>0.36260408781226339</c:v>
                </c:pt>
                <c:pt idx="12">
                  <c:v>0.34519303557910663</c:v>
                </c:pt>
                <c:pt idx="13">
                  <c:v>0.42278576835730508</c:v>
                </c:pt>
                <c:pt idx="14">
                  <c:v>0.3978046934140802</c:v>
                </c:pt>
                <c:pt idx="15">
                  <c:v>0.43035579106737321</c:v>
                </c:pt>
                <c:pt idx="16">
                  <c:v>0.43338380015140054</c:v>
                </c:pt>
                <c:pt idx="17">
                  <c:v>0.43111279333838004</c:v>
                </c:pt>
                <c:pt idx="18">
                  <c:v>0.52006056018168056</c:v>
                </c:pt>
                <c:pt idx="19">
                  <c:v>0.77630582891748667</c:v>
                </c:pt>
                <c:pt idx="20">
                  <c:v>0.67297501892505673</c:v>
                </c:pt>
                <c:pt idx="21">
                  <c:v>0.69757759273277831</c:v>
                </c:pt>
                <c:pt idx="22">
                  <c:v>0.69379258137774413</c:v>
                </c:pt>
                <c:pt idx="23">
                  <c:v>0.58213474640423923</c:v>
                </c:pt>
                <c:pt idx="24">
                  <c:v>0.71574564723694167</c:v>
                </c:pt>
                <c:pt idx="25">
                  <c:v>0.71347464042392117</c:v>
                </c:pt>
                <c:pt idx="26">
                  <c:v>0.66540499621498861</c:v>
                </c:pt>
                <c:pt idx="27">
                  <c:v>0.62755488266464798</c:v>
                </c:pt>
                <c:pt idx="28">
                  <c:v>0.56926570779712349</c:v>
                </c:pt>
                <c:pt idx="29">
                  <c:v>0.58705526116578355</c:v>
                </c:pt>
                <c:pt idx="30">
                  <c:v>0.593111279333838</c:v>
                </c:pt>
                <c:pt idx="31">
                  <c:v>0.68508705526116587</c:v>
                </c:pt>
                <c:pt idx="32">
                  <c:v>0.79409538228614696</c:v>
                </c:pt>
                <c:pt idx="33">
                  <c:v>0.74602573807721417</c:v>
                </c:pt>
                <c:pt idx="34">
                  <c:v>0.78349735049205149</c:v>
                </c:pt>
                <c:pt idx="35">
                  <c:v>0.75246025738077216</c:v>
                </c:pt>
                <c:pt idx="36">
                  <c:v>0.72672218016654044</c:v>
                </c:pt>
                <c:pt idx="37">
                  <c:v>0.63890991672975028</c:v>
                </c:pt>
                <c:pt idx="38">
                  <c:v>0.66048448145344429</c:v>
                </c:pt>
                <c:pt idx="39">
                  <c:v>0.62376987130961403</c:v>
                </c:pt>
                <c:pt idx="40">
                  <c:v>0.55942467827403486</c:v>
                </c:pt>
                <c:pt idx="41">
                  <c:v>0.42694928084784256</c:v>
                </c:pt>
                <c:pt idx="42">
                  <c:v>0.44208932626797881</c:v>
                </c:pt>
                <c:pt idx="43">
                  <c:v>0.45533686601059808</c:v>
                </c:pt>
                <c:pt idx="44">
                  <c:v>0.42165026495079494</c:v>
                </c:pt>
                <c:pt idx="45">
                  <c:v>0.40651021953065869</c:v>
                </c:pt>
                <c:pt idx="46">
                  <c:v>0.34557153671461016</c:v>
                </c:pt>
                <c:pt idx="47">
                  <c:v>0.3164269492808478</c:v>
                </c:pt>
                <c:pt idx="48">
                  <c:v>0.33838001514004534</c:v>
                </c:pt>
                <c:pt idx="49">
                  <c:v>0.36903860711582137</c:v>
                </c:pt>
                <c:pt idx="50">
                  <c:v>0.34557153671461016</c:v>
                </c:pt>
                <c:pt idx="51">
                  <c:v>0.34216502649507952</c:v>
                </c:pt>
                <c:pt idx="52">
                  <c:v>0.38001514004542014</c:v>
                </c:pt>
                <c:pt idx="53">
                  <c:v>0.39364118092354272</c:v>
                </c:pt>
                <c:pt idx="54">
                  <c:v>0.38872066616199841</c:v>
                </c:pt>
                <c:pt idx="55">
                  <c:v>0.38266464799394395</c:v>
                </c:pt>
                <c:pt idx="56">
                  <c:v>0.35503406510219526</c:v>
                </c:pt>
                <c:pt idx="57">
                  <c:v>0.34027252081756254</c:v>
                </c:pt>
                <c:pt idx="58">
                  <c:v>0.3277819833459501</c:v>
                </c:pt>
                <c:pt idx="59">
                  <c:v>0.32967448902346708</c:v>
                </c:pt>
                <c:pt idx="60">
                  <c:v>0.34102952308856938</c:v>
                </c:pt>
                <c:pt idx="61">
                  <c:v>0.34935654806964411</c:v>
                </c:pt>
                <c:pt idx="62">
                  <c:v>0.33118849356548075</c:v>
                </c:pt>
                <c:pt idx="63">
                  <c:v>0.32740348221044657</c:v>
                </c:pt>
                <c:pt idx="64">
                  <c:v>0.32286146858440579</c:v>
                </c:pt>
                <c:pt idx="65">
                  <c:v>0.30431491294473889</c:v>
                </c:pt>
                <c:pt idx="66">
                  <c:v>0.25056775170325518</c:v>
                </c:pt>
                <c:pt idx="67">
                  <c:v>0.30204390613171839</c:v>
                </c:pt>
                <c:pt idx="68">
                  <c:v>0.28311884935654796</c:v>
                </c:pt>
                <c:pt idx="69">
                  <c:v>0.27895533686601071</c:v>
                </c:pt>
                <c:pt idx="70">
                  <c:v>0.25208175624526863</c:v>
                </c:pt>
                <c:pt idx="71">
                  <c:v>0.23769871309613921</c:v>
                </c:pt>
                <c:pt idx="72">
                  <c:v>0.24602573807721417</c:v>
                </c:pt>
                <c:pt idx="73">
                  <c:v>0.27138531415594236</c:v>
                </c:pt>
                <c:pt idx="74">
                  <c:v>0.26192278576835726</c:v>
                </c:pt>
                <c:pt idx="75">
                  <c:v>0.30015140045420141</c:v>
                </c:pt>
                <c:pt idx="76">
                  <c:v>0.26230128690386079</c:v>
                </c:pt>
                <c:pt idx="77">
                  <c:v>0.33308099924299772</c:v>
                </c:pt>
                <c:pt idx="78">
                  <c:v>0.39099167297501891</c:v>
                </c:pt>
                <c:pt idx="79">
                  <c:v>0.37736563209689633</c:v>
                </c:pt>
                <c:pt idx="80">
                  <c:v>0.37130961392884188</c:v>
                </c:pt>
                <c:pt idx="81">
                  <c:v>0.3557910673732021</c:v>
                </c:pt>
                <c:pt idx="82">
                  <c:v>0.3557910673732021</c:v>
                </c:pt>
                <c:pt idx="83">
                  <c:v>0.36638909916729756</c:v>
                </c:pt>
                <c:pt idx="84">
                  <c:v>0.39288417865253589</c:v>
                </c:pt>
                <c:pt idx="85">
                  <c:v>0.39704769114307337</c:v>
                </c:pt>
                <c:pt idx="86">
                  <c:v>0.38304314912944748</c:v>
                </c:pt>
                <c:pt idx="87">
                  <c:v>0.39591218773656323</c:v>
                </c:pt>
                <c:pt idx="88">
                  <c:v>0.37774413323239964</c:v>
                </c:pt>
                <c:pt idx="89">
                  <c:v>0.3766086298258895</c:v>
                </c:pt>
                <c:pt idx="90">
                  <c:v>0.37509462528387583</c:v>
                </c:pt>
                <c:pt idx="91">
                  <c:v>0.38380015140045409</c:v>
                </c:pt>
                <c:pt idx="92">
                  <c:v>0.38531415594246776</c:v>
                </c:pt>
                <c:pt idx="93">
                  <c:v>0.38455715367146093</c:v>
                </c:pt>
                <c:pt idx="94">
                  <c:v>0.38190764572293712</c:v>
                </c:pt>
                <c:pt idx="95">
                  <c:v>0.37925813777441331</c:v>
                </c:pt>
                <c:pt idx="96">
                  <c:v>0.39591218773656323</c:v>
                </c:pt>
                <c:pt idx="97">
                  <c:v>0.38909916729750194</c:v>
                </c:pt>
                <c:pt idx="98">
                  <c:v>0.39288417865253589</c:v>
                </c:pt>
                <c:pt idx="99">
                  <c:v>0.3955336866010597</c:v>
                </c:pt>
                <c:pt idx="100">
                  <c:v>0.38985616956850877</c:v>
                </c:pt>
                <c:pt idx="101">
                  <c:v>0.39364118092354272</c:v>
                </c:pt>
                <c:pt idx="102">
                  <c:v>0.39439818319454956</c:v>
                </c:pt>
                <c:pt idx="103">
                  <c:v>0.39023467070401208</c:v>
                </c:pt>
                <c:pt idx="104">
                  <c:v>0.38152914458743381</c:v>
                </c:pt>
                <c:pt idx="105">
                  <c:v>0.38152914458743381</c:v>
                </c:pt>
                <c:pt idx="106">
                  <c:v>0.38077214231642698</c:v>
                </c:pt>
                <c:pt idx="107">
                  <c:v>0.38417865253595762</c:v>
                </c:pt>
                <c:pt idx="108">
                  <c:v>0.40423921271763819</c:v>
                </c:pt>
                <c:pt idx="109">
                  <c:v>0.40045420136260401</c:v>
                </c:pt>
                <c:pt idx="110">
                  <c:v>0.38342165026495079</c:v>
                </c:pt>
                <c:pt idx="111">
                  <c:v>0.38152914458743381</c:v>
                </c:pt>
                <c:pt idx="112">
                  <c:v>0.38152914458743381</c:v>
                </c:pt>
                <c:pt idx="113">
                  <c:v>0.47236941710825131</c:v>
                </c:pt>
                <c:pt idx="114">
                  <c:v>0.50643451930355798</c:v>
                </c:pt>
                <c:pt idx="115">
                  <c:v>0.61241483724451173</c:v>
                </c:pt>
                <c:pt idx="116">
                  <c:v>0.58213474640423923</c:v>
                </c:pt>
                <c:pt idx="117">
                  <c:v>0.58819076457229369</c:v>
                </c:pt>
                <c:pt idx="118">
                  <c:v>0.56964420893262679</c:v>
                </c:pt>
                <c:pt idx="119">
                  <c:v>0.61809235427706288</c:v>
                </c:pt>
                <c:pt idx="120">
                  <c:v>0.69000757002270996</c:v>
                </c:pt>
                <c:pt idx="121">
                  <c:v>0.73353520060560173</c:v>
                </c:pt>
                <c:pt idx="122">
                  <c:v>0.82437547312641946</c:v>
                </c:pt>
                <c:pt idx="123">
                  <c:v>0.83573050719152153</c:v>
                </c:pt>
                <c:pt idx="124">
                  <c:v>0.85087055261165778</c:v>
                </c:pt>
                <c:pt idx="125">
                  <c:v>0.86941710825132468</c:v>
                </c:pt>
                <c:pt idx="126">
                  <c:v>1.194549583648751</c:v>
                </c:pt>
                <c:pt idx="127">
                  <c:v>1.1725965177895534</c:v>
                </c:pt>
                <c:pt idx="128">
                  <c:v>1.1044663133989401</c:v>
                </c:pt>
                <c:pt idx="129">
                  <c:v>1.1366389099167296</c:v>
                </c:pt>
                <c:pt idx="130">
                  <c:v>1.0344436033308102</c:v>
                </c:pt>
                <c:pt idx="131">
                  <c:v>1.1233913701741107</c:v>
                </c:pt>
                <c:pt idx="132">
                  <c:v>1.1479939439818319</c:v>
                </c:pt>
                <c:pt idx="133">
                  <c:v>1.1271763815291447</c:v>
                </c:pt>
                <c:pt idx="134">
                  <c:v>1.0628311884935653</c:v>
                </c:pt>
                <c:pt idx="135">
                  <c:v>1.1063588190764571</c:v>
                </c:pt>
                <c:pt idx="136">
                  <c:v>1.1725965177895534</c:v>
                </c:pt>
                <c:pt idx="137">
                  <c:v>1.1517789553368658</c:v>
                </c:pt>
                <c:pt idx="138">
                  <c:v>1.1669190007570021</c:v>
                </c:pt>
                <c:pt idx="139">
                  <c:v>1.1725965177895534</c:v>
                </c:pt>
                <c:pt idx="140">
                  <c:v>1.1517789553368658</c:v>
                </c:pt>
                <c:pt idx="141">
                  <c:v>1.2123391370174113</c:v>
                </c:pt>
                <c:pt idx="142">
                  <c:v>1.2975018925056774</c:v>
                </c:pt>
                <c:pt idx="143">
                  <c:v>1.3334595003785013</c:v>
                </c:pt>
                <c:pt idx="144">
                  <c:v>1.3656320968962907</c:v>
                </c:pt>
                <c:pt idx="145">
                  <c:v>1.496214988644966</c:v>
                </c:pt>
                <c:pt idx="146">
                  <c:v>1.6059803179409537</c:v>
                </c:pt>
                <c:pt idx="147">
                  <c:v>1.6627554882664648</c:v>
                </c:pt>
                <c:pt idx="148">
                  <c:v>1.623012869038607</c:v>
                </c:pt>
                <c:pt idx="149">
                  <c:v>1.5984102952308858</c:v>
                </c:pt>
                <c:pt idx="150">
                  <c:v>1.5397426192278578</c:v>
                </c:pt>
                <c:pt idx="151">
                  <c:v>1.5227100681302046</c:v>
                </c:pt>
                <c:pt idx="152">
                  <c:v>1.5132475397426193</c:v>
                </c:pt>
                <c:pt idx="153">
                  <c:v>1.5359576078728234</c:v>
                </c:pt>
                <c:pt idx="154">
                  <c:v>1.5473126419379257</c:v>
                </c:pt>
                <c:pt idx="155">
                  <c:v>1.5359576078728234</c:v>
                </c:pt>
                <c:pt idx="156">
                  <c:v>1.558667676003028</c:v>
                </c:pt>
                <c:pt idx="157">
                  <c:v>1.5283875851627555</c:v>
                </c:pt>
                <c:pt idx="158">
                  <c:v>1.5378501135503408</c:v>
                </c:pt>
                <c:pt idx="159">
                  <c:v>1.5435276305828918</c:v>
                </c:pt>
                <c:pt idx="160">
                  <c:v>1.5378501135503408</c:v>
                </c:pt>
                <c:pt idx="161">
                  <c:v>1.5340651021953065</c:v>
                </c:pt>
                <c:pt idx="162">
                  <c:v>1.5454201362604087</c:v>
                </c:pt>
                <c:pt idx="163">
                  <c:v>1.5832702498107496</c:v>
                </c:pt>
                <c:pt idx="164">
                  <c:v>1.6040878122634368</c:v>
                </c:pt>
                <c:pt idx="165">
                  <c:v>1.679788039364118</c:v>
                </c:pt>
                <c:pt idx="166">
                  <c:v>1.7857683573050718</c:v>
                </c:pt>
                <c:pt idx="167">
                  <c:v>1.800908402725208</c:v>
                </c:pt>
                <c:pt idx="168">
                  <c:v>1.9485238455715366</c:v>
                </c:pt>
                <c:pt idx="169">
                  <c:v>2.0090840272520816</c:v>
                </c:pt>
                <c:pt idx="170">
                  <c:v>2.0582891748675247</c:v>
                </c:pt>
                <c:pt idx="171">
                  <c:v>2.2248296744890235</c:v>
                </c:pt>
                <c:pt idx="172">
                  <c:v>2.311884935654807</c:v>
                </c:pt>
                <c:pt idx="173">
                  <c:v>1.9137017411052235</c:v>
                </c:pt>
                <c:pt idx="174">
                  <c:v>1.9901589704769114</c:v>
                </c:pt>
                <c:pt idx="175">
                  <c:v>2.0658591975775926</c:v>
                </c:pt>
                <c:pt idx="176">
                  <c:v>2.1604844814534445</c:v>
                </c:pt>
                <c:pt idx="177">
                  <c:v>2.4065102195306585</c:v>
                </c:pt>
                <c:pt idx="178">
                  <c:v>2.2475397426192281</c:v>
                </c:pt>
                <c:pt idx="179">
                  <c:v>2.1869795609386826</c:v>
                </c:pt>
                <c:pt idx="180">
                  <c:v>2.3610900832702497</c:v>
                </c:pt>
                <c:pt idx="181">
                  <c:v>2.4254352763058291</c:v>
                </c:pt>
                <c:pt idx="182">
                  <c:v>2.8531415594246781</c:v>
                </c:pt>
                <c:pt idx="183">
                  <c:v>3.5912187736563208</c:v>
                </c:pt>
                <c:pt idx="184">
                  <c:v>3.4738834216502648</c:v>
                </c:pt>
                <c:pt idx="185">
                  <c:v>3.5230885692657079</c:v>
                </c:pt>
                <c:pt idx="186">
                  <c:v>3.5950037850113548</c:v>
                </c:pt>
                <c:pt idx="187">
                  <c:v>3.943224829674489</c:v>
                </c:pt>
                <c:pt idx="188">
                  <c:v>4.177895533686601</c:v>
                </c:pt>
                <c:pt idx="189">
                  <c:v>4.5942467827403481</c:v>
                </c:pt>
                <c:pt idx="190">
                  <c:v>4.8629825889477667</c:v>
                </c:pt>
                <c:pt idx="191">
                  <c:v>4.783497350492051</c:v>
                </c:pt>
                <c:pt idx="192">
                  <c:v>5.5102195306585919</c:v>
                </c:pt>
                <c:pt idx="193">
                  <c:v>6.0779712339137015</c:v>
                </c:pt>
                <c:pt idx="194">
                  <c:v>5.6199848599545801</c:v>
                </c:pt>
                <c:pt idx="195">
                  <c:v>5.2831188493565477</c:v>
                </c:pt>
                <c:pt idx="196">
                  <c:v>5.0181680545041631</c:v>
                </c:pt>
                <c:pt idx="197">
                  <c:v>4.5639666919000756</c:v>
                </c:pt>
                <c:pt idx="198">
                  <c:v>4.3709311127933388</c:v>
                </c:pt>
                <c:pt idx="199">
                  <c:v>4.6283118849356546</c:v>
                </c:pt>
                <c:pt idx="200">
                  <c:v>4.4542013626040875</c:v>
                </c:pt>
                <c:pt idx="201">
                  <c:v>4.4125662376987131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C-4A59-B532-DBB90246708A}"/>
            </c:ext>
          </c:extLst>
        </c:ser>
        <c:ser>
          <c:idx val="1"/>
          <c:order val="1"/>
          <c:tx>
            <c:strRef>
              <c:f>'1_Kenh_dau_tu'!$C$1</c:f>
              <c:strCache>
                <c:ptCount val="1"/>
                <c:pt idx="0">
                  <c:v>Vàng thế giới quy đổi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'1_Kenh_dau_tu'!$A$2:$A$203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'1_Kenh_dau_tu'!$C$2:$C$203</c:f>
              <c:numCache>
                <c:formatCode>0.0%</c:formatCode>
                <c:ptCount val="202"/>
                <c:pt idx="0">
                  <c:v>0</c:v>
                </c:pt>
                <c:pt idx="1">
                  <c:v>6.7300369198698862E-2</c:v>
                </c:pt>
                <c:pt idx="2">
                  <c:v>6.2528392436661306E-2</c:v>
                </c:pt>
                <c:pt idx="3">
                  <c:v>0.12628193207548266</c:v>
                </c:pt>
                <c:pt idx="4">
                  <c:v>0.15691799958709662</c:v>
                </c:pt>
                <c:pt idx="5">
                  <c:v>0.18869941142360402</c:v>
                </c:pt>
                <c:pt idx="6">
                  <c:v>0.12780894133866627</c:v>
                </c:pt>
                <c:pt idx="7">
                  <c:v>0.21629908623819749</c:v>
                </c:pt>
                <c:pt idx="8">
                  <c:v>0.27427376604303433</c:v>
                </c:pt>
                <c:pt idx="9">
                  <c:v>0.32230985794532185</c:v>
                </c:pt>
                <c:pt idx="10">
                  <c:v>0.349494647557967</c:v>
                </c:pt>
                <c:pt idx="11">
                  <c:v>0.38466917739926387</c:v>
                </c:pt>
                <c:pt idx="12">
                  <c:v>0.29960723957119817</c:v>
                </c:pt>
                <c:pt idx="13">
                  <c:v>0.37317174923952079</c:v>
                </c:pt>
                <c:pt idx="14">
                  <c:v>0.53316465720456141</c:v>
                </c:pt>
                <c:pt idx="15">
                  <c:v>0.65753562912147179</c:v>
                </c:pt>
                <c:pt idx="16">
                  <c:v>0.63177643494630353</c:v>
                </c:pt>
                <c:pt idx="17">
                  <c:v>0.59414607358171367</c:v>
                </c:pt>
                <c:pt idx="18">
                  <c:v>0.72701129820310251</c:v>
                </c:pt>
                <c:pt idx="19">
                  <c:v>0.94122995642380269</c:v>
                </c:pt>
                <c:pt idx="20">
                  <c:v>0.72030028372022903</c:v>
                </c:pt>
                <c:pt idx="21">
                  <c:v>0.84602889568977124</c:v>
                </c:pt>
                <c:pt idx="22">
                  <c:v>0.86883396861045936</c:v>
                </c:pt>
                <c:pt idx="23">
                  <c:v>0.6784513914821857</c:v>
                </c:pt>
                <c:pt idx="24">
                  <c:v>0.86282591589927105</c:v>
                </c:pt>
                <c:pt idx="25">
                  <c:v>0.83291862675643458</c:v>
                </c:pt>
                <c:pt idx="26">
                  <c:v>0.78939768960525813</c:v>
                </c:pt>
                <c:pt idx="27">
                  <c:v>0.78307318846925722</c:v>
                </c:pt>
                <c:pt idx="28">
                  <c:v>0.67502108926051063</c:v>
                </c:pt>
                <c:pt idx="29">
                  <c:v>0.71886366222556819</c:v>
                </c:pt>
                <c:pt idx="30">
                  <c:v>0.72636727659137978</c:v>
                </c:pt>
                <c:pt idx="31">
                  <c:v>0.80579836820751338</c:v>
                </c:pt>
                <c:pt idx="32">
                  <c:v>0.89852160287075744</c:v>
                </c:pt>
                <c:pt idx="33">
                  <c:v>0.84106538189735769</c:v>
                </c:pt>
                <c:pt idx="34">
                  <c:v>0.83399057166583646</c:v>
                </c:pt>
                <c:pt idx="35">
                  <c:v>0.79529338660696691</c:v>
                </c:pt>
                <c:pt idx="36">
                  <c:v>0.78007169038187341</c:v>
                </c:pt>
                <c:pt idx="37">
                  <c:v>0.69120743122194539</c:v>
                </c:pt>
                <c:pt idx="38">
                  <c:v>0.70953779385483329</c:v>
                </c:pt>
                <c:pt idx="39">
                  <c:v>0.57811724328006941</c:v>
                </c:pt>
                <c:pt idx="40">
                  <c:v>0.49279045466222815</c:v>
                </c:pt>
                <c:pt idx="41">
                  <c:v>0.32494705906337362</c:v>
                </c:pt>
                <c:pt idx="42">
                  <c:v>0.42086981801250389</c:v>
                </c:pt>
                <c:pt idx="43">
                  <c:v>0.51148756578520405</c:v>
                </c:pt>
                <c:pt idx="44">
                  <c:v>0.43613515584554507</c:v>
                </c:pt>
                <c:pt idx="45">
                  <c:v>0.43299544456484784</c:v>
                </c:pt>
                <c:pt idx="46">
                  <c:v>0.35396199837055908</c:v>
                </c:pt>
                <c:pt idx="47">
                  <c:v>0.30123699877320287</c:v>
                </c:pt>
                <c:pt idx="48">
                  <c:v>0.34259417391795544</c:v>
                </c:pt>
                <c:pt idx="49">
                  <c:v>0.43061366754330654</c:v>
                </c:pt>
                <c:pt idx="50">
                  <c:v>0.3894729695243615</c:v>
                </c:pt>
                <c:pt idx="51">
                  <c:v>0.402681246024573</c:v>
                </c:pt>
                <c:pt idx="52">
                  <c:v>0.34854874863122398</c:v>
                </c:pt>
                <c:pt idx="53">
                  <c:v>0.44533273124709338</c:v>
                </c:pt>
                <c:pt idx="54">
                  <c:v>0.40104768551161785</c:v>
                </c:pt>
                <c:pt idx="55">
                  <c:v>0.40596824614889293</c:v>
                </c:pt>
                <c:pt idx="56">
                  <c:v>0.32363081142699013</c:v>
                </c:pt>
                <c:pt idx="57">
                  <c:v>0.28054854270709928</c:v>
                </c:pt>
                <c:pt idx="58">
                  <c:v>0.28503169348086566</c:v>
                </c:pt>
                <c:pt idx="59">
                  <c:v>0.29454485746684722</c:v>
                </c:pt>
                <c:pt idx="60">
                  <c:v>0.73251294653456012</c:v>
                </c:pt>
                <c:pt idx="61">
                  <c:v>0.33460180205453782</c:v>
                </c:pt>
                <c:pt idx="62">
                  <c:v>0.31339841448028749</c:v>
                </c:pt>
                <c:pt idx="63">
                  <c:v>0.31627261718973676</c:v>
                </c:pt>
                <c:pt idx="64">
                  <c:v>0.33692016625970078</c:v>
                </c:pt>
                <c:pt idx="65">
                  <c:v>0.3168000190220297</c:v>
                </c:pt>
                <c:pt idx="66">
                  <c:v>0.2306994220876295</c:v>
                </c:pt>
                <c:pt idx="67">
                  <c:v>0.30980692438571955</c:v>
                </c:pt>
                <c:pt idx="68">
                  <c:v>0.29231970617963254</c:v>
                </c:pt>
                <c:pt idx="69">
                  <c:v>0.31274741569820796</c:v>
                </c:pt>
                <c:pt idx="70">
                  <c:v>0.23529026581121948</c:v>
                </c:pt>
                <c:pt idx="71">
                  <c:v>0.22782422196283836</c:v>
                </c:pt>
                <c:pt idx="72">
                  <c:v>0.51284903856774466</c:v>
                </c:pt>
                <c:pt idx="73">
                  <c:v>0.41932678100853527</c:v>
                </c:pt>
                <c:pt idx="74">
                  <c:v>0.4180837800968995</c:v>
                </c:pt>
                <c:pt idx="75">
                  <c:v>0.48094649370393183</c:v>
                </c:pt>
                <c:pt idx="76">
                  <c:v>0.40360867341729501</c:v>
                </c:pt>
                <c:pt idx="77">
                  <c:v>0.51618591756987642</c:v>
                </c:pt>
                <c:pt idx="78">
                  <c:v>0.55033506513063757</c:v>
                </c:pt>
                <c:pt idx="79">
                  <c:v>0.50228807563645317</c:v>
                </c:pt>
                <c:pt idx="80">
                  <c:v>0.50964493551970236</c:v>
                </c:pt>
                <c:pt idx="81">
                  <c:v>0.46355876240079619</c:v>
                </c:pt>
                <c:pt idx="82">
                  <c:v>0.36903942863169603</c:v>
                </c:pt>
                <c:pt idx="83">
                  <c:v>0.34856464734129267</c:v>
                </c:pt>
                <c:pt idx="84">
                  <c:v>0.40764140300799112</c:v>
                </c:pt>
                <c:pt idx="85">
                  <c:v>0.47081404782018765</c:v>
                </c:pt>
                <c:pt idx="86">
                  <c:v>0.46298597144816855</c:v>
                </c:pt>
                <c:pt idx="87">
                  <c:v>0.48340777937275337</c:v>
                </c:pt>
                <c:pt idx="88">
                  <c:v>0.4890111493490279</c:v>
                </c:pt>
                <c:pt idx="89">
                  <c:v>0.45396747964658735</c:v>
                </c:pt>
                <c:pt idx="90">
                  <c:v>0.48399359716280888</c:v>
                </c:pt>
                <c:pt idx="91">
                  <c:v>0.54210669333187433</c:v>
                </c:pt>
                <c:pt idx="92">
                  <c:v>0.50112122411291371</c:v>
                </c:pt>
                <c:pt idx="93">
                  <c:v>0.48381019905041134</c:v>
                </c:pt>
                <c:pt idx="94">
                  <c:v>0.49107109153852746</c:v>
                </c:pt>
                <c:pt idx="95">
                  <c:v>0.52849069354431188</c:v>
                </c:pt>
                <c:pt idx="96">
                  <c:v>0.56744176806473945</c:v>
                </c:pt>
                <c:pt idx="97">
                  <c:v>0.54264069006736593</c:v>
                </c:pt>
                <c:pt idx="98">
                  <c:v>0.5535839987187825</c:v>
                </c:pt>
                <c:pt idx="99">
                  <c:v>0.54447760193133021</c:v>
                </c:pt>
                <c:pt idx="100">
                  <c:v>0.52993455267697098</c:v>
                </c:pt>
                <c:pt idx="101">
                  <c:v>0.48055767499320989</c:v>
                </c:pt>
                <c:pt idx="102">
                  <c:v>0.46805427957928991</c:v>
                </c:pt>
                <c:pt idx="103">
                  <c:v>0.44183502988370327</c:v>
                </c:pt>
                <c:pt idx="104">
                  <c:v>0.43310382863127384</c:v>
                </c:pt>
                <c:pt idx="105">
                  <c:v>0.4593694198167575</c:v>
                </c:pt>
                <c:pt idx="106">
                  <c:v>0.4673093528701755</c:v>
                </c:pt>
                <c:pt idx="107">
                  <c:v>0.5292808604776702</c:v>
                </c:pt>
                <c:pt idx="108">
                  <c:v>0.57914880146266312</c:v>
                </c:pt>
                <c:pt idx="109">
                  <c:v>0.5708924000687956</c:v>
                </c:pt>
                <c:pt idx="110">
                  <c:v>0.75216209610417373</c:v>
                </c:pt>
                <c:pt idx="111">
                  <c:v>0.54027619612516475</c:v>
                </c:pt>
                <c:pt idx="112">
                  <c:v>0.57797337185934472</c:v>
                </c:pt>
                <c:pt idx="113">
                  <c:v>0.69409775438983923</c:v>
                </c:pt>
                <c:pt idx="114">
                  <c:v>0.70720069945737873</c:v>
                </c:pt>
                <c:pt idx="115">
                  <c:v>0.81775024210489522</c:v>
                </c:pt>
                <c:pt idx="116">
                  <c:v>0.75536063106662521</c:v>
                </c:pt>
                <c:pt idx="117">
                  <c:v>0.81009223513201256</c:v>
                </c:pt>
                <c:pt idx="118">
                  <c:v>0.7533551640202385</c:v>
                </c:pt>
                <c:pt idx="119">
                  <c:v>0.81666484217813951</c:v>
                </c:pt>
                <c:pt idx="120">
                  <c:v>0.895722506880958</c:v>
                </c:pt>
                <c:pt idx="121">
                  <c:v>0.8764270282513793</c:v>
                </c:pt>
                <c:pt idx="122">
                  <c:v>0.92810324153385593</c:v>
                </c:pt>
                <c:pt idx="123">
                  <c:v>1.0378451340196593</c:v>
                </c:pt>
                <c:pt idx="124">
                  <c:v>1.1068971100609564</c:v>
                </c:pt>
                <c:pt idx="125">
                  <c:v>1.1591058987180864</c:v>
                </c:pt>
                <c:pt idx="126">
                  <c:v>1.350700721258681</c:v>
                </c:pt>
                <c:pt idx="127">
                  <c:v>1.3696231271591701</c:v>
                </c:pt>
                <c:pt idx="128">
                  <c:v>1.2701004209807842</c:v>
                </c:pt>
                <c:pt idx="129">
                  <c:v>1.2514174818381161</c:v>
                </c:pt>
                <c:pt idx="130">
                  <c:v>1.1229691816725134</c:v>
                </c:pt>
                <c:pt idx="131">
                  <c:v>1.2642569590715778</c:v>
                </c:pt>
                <c:pt idx="132">
                  <c:v>1.2000152613644302</c:v>
                </c:pt>
                <c:pt idx="133">
                  <c:v>1.0553303874884081</c:v>
                </c:pt>
                <c:pt idx="134">
                  <c:v>1.0436714685119095</c:v>
                </c:pt>
                <c:pt idx="135">
                  <c:v>1.1052166769325504</c:v>
                </c:pt>
                <c:pt idx="136">
                  <c:v>1.2662444198057003</c:v>
                </c:pt>
                <c:pt idx="137">
                  <c:v>1.1080377924680525</c:v>
                </c:pt>
                <c:pt idx="138">
                  <c:v>1.1502937703035263</c:v>
                </c:pt>
                <c:pt idx="139">
                  <c:v>1.1399756059785378</c:v>
                </c:pt>
                <c:pt idx="140">
                  <c:v>1.0671542502888429</c:v>
                </c:pt>
                <c:pt idx="141">
                  <c:v>1.0978846873771753</c:v>
                </c:pt>
                <c:pt idx="142">
                  <c:v>1.0812076726180697</c:v>
                </c:pt>
                <c:pt idx="143">
                  <c:v>1.1570401062943256</c:v>
                </c:pt>
                <c:pt idx="144">
                  <c:v>1.1044716026466763</c:v>
                </c:pt>
                <c:pt idx="145">
                  <c:v>1.2450248400327331</c:v>
                </c:pt>
                <c:pt idx="146">
                  <c:v>1.3053205059144402</c:v>
                </c:pt>
                <c:pt idx="147">
                  <c:v>1.2722839077237236</c:v>
                </c:pt>
                <c:pt idx="148">
                  <c:v>1.2125559427471817</c:v>
                </c:pt>
                <c:pt idx="149">
                  <c:v>1.1779570928322176</c:v>
                </c:pt>
                <c:pt idx="150">
                  <c:v>1.1303485922458658</c:v>
                </c:pt>
                <c:pt idx="151">
                  <c:v>1.0966599532517272</c:v>
                </c:pt>
                <c:pt idx="152">
                  <c:v>1.066109479707853</c:v>
                </c:pt>
                <c:pt idx="153">
                  <c:v>1.1008109985420598</c:v>
                </c:pt>
                <c:pt idx="154">
                  <c:v>1.2285419691290365</c:v>
                </c:pt>
                <c:pt idx="155">
                  <c:v>1.2303394295598222</c:v>
                </c:pt>
                <c:pt idx="156">
                  <c:v>1.3455763461470069</c:v>
                </c:pt>
                <c:pt idx="157">
                  <c:v>1.263014088553966</c:v>
                </c:pt>
                <c:pt idx="158">
                  <c:v>1.3946074809793849</c:v>
                </c:pt>
                <c:pt idx="159">
                  <c:v>1.4312136905859787</c:v>
                </c:pt>
                <c:pt idx="160">
                  <c:v>1.391942753867994</c:v>
                </c:pt>
                <c:pt idx="161">
                  <c:v>1.3583637503019914</c:v>
                </c:pt>
                <c:pt idx="162">
                  <c:v>1.4192500420610221</c:v>
                </c:pt>
                <c:pt idx="163">
                  <c:v>1.4525560462441631</c:v>
                </c:pt>
                <c:pt idx="164">
                  <c:v>1.3491797960531668</c:v>
                </c:pt>
                <c:pt idx="165">
                  <c:v>1.5382799158357279</c:v>
                </c:pt>
                <c:pt idx="166">
                  <c:v>1.5625588502317491</c:v>
                </c:pt>
                <c:pt idx="167">
                  <c:v>1.603864590547091</c:v>
                </c:pt>
                <c:pt idx="168">
                  <c:v>1.5929041960376908</c:v>
                </c:pt>
                <c:pt idx="169">
                  <c:v>1.6246722823901618</c:v>
                </c:pt>
                <c:pt idx="170">
                  <c:v>1.8496233685186039</c:v>
                </c:pt>
                <c:pt idx="171">
                  <c:v>2.0173399345267073</c:v>
                </c:pt>
                <c:pt idx="172">
                  <c:v>2.045457459093484</c:v>
                </c:pt>
                <c:pt idx="173">
                  <c:v>2.0672319795524321</c:v>
                </c:pt>
                <c:pt idx="174">
                  <c:v>2.1745395276597348</c:v>
                </c:pt>
                <c:pt idx="175">
                  <c:v>2.2560728290702281</c:v>
                </c:pt>
                <c:pt idx="176">
                  <c:v>2.3861659706067626</c:v>
                </c:pt>
                <c:pt idx="177">
                  <c:v>2.6010970318930258</c:v>
                </c:pt>
                <c:pt idx="178">
                  <c:v>2.4819779905438479</c:v>
                </c:pt>
                <c:pt idx="179">
                  <c:v>2.4729713476042816</c:v>
                </c:pt>
                <c:pt idx="180">
                  <c:v>2.6621653523915954</c:v>
                </c:pt>
                <c:pt idx="181">
                  <c:v>2.7720801068321661</c:v>
                </c:pt>
                <c:pt idx="182">
                  <c:v>3.1369247119706944</c:v>
                </c:pt>
                <c:pt idx="183">
                  <c:v>3.4721348392564169</c:v>
                </c:pt>
                <c:pt idx="184">
                  <c:v>3.4348286492051141</c:v>
                </c:pt>
                <c:pt idx="185">
                  <c:v>3.4772026538315455</c:v>
                </c:pt>
                <c:pt idx="186">
                  <c:v>3.4711350584149789</c:v>
                </c:pt>
                <c:pt idx="187">
                  <c:v>3.7958410095966002</c:v>
                </c:pt>
                <c:pt idx="188">
                  <c:v>4.2717500215357269</c:v>
                </c:pt>
                <c:pt idx="189">
                  <c:v>4.4192088173696238</c:v>
                </c:pt>
                <c:pt idx="190">
                  <c:v>4.7838301845699469</c:v>
                </c:pt>
                <c:pt idx="191">
                  <c:v>4.893185294791226</c:v>
                </c:pt>
                <c:pt idx="192">
                  <c:v>5.376423405980125</c:v>
                </c:pt>
                <c:pt idx="193">
                  <c:v>6.0844922663805008</c:v>
                </c:pt>
                <c:pt idx="194">
                  <c:v>5.3044851472957095</c:v>
                </c:pt>
                <c:pt idx="195">
                  <c:v>5.2826890508506317</c:v>
                </c:pt>
                <c:pt idx="196">
                  <c:v>5.2394025909178117</c:v>
                </c:pt>
                <c:pt idx="197">
                  <c:v>4.5008942052443048</c:v>
                </c:pt>
                <c:pt idx="198">
                  <c:v>4.5992719132780726</c:v>
                </c:pt>
                <c:pt idx="199">
                  <c:v>5.1006200018600012</c:v>
                </c:pt>
                <c:pt idx="200">
                  <c:v>4.6993120502766041</c:v>
                </c:pt>
                <c:pt idx="201">
                  <c:v>4.6934581055484994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3C-4A59-B532-DBB90246708A}"/>
            </c:ext>
          </c:extLst>
        </c:ser>
        <c:ser>
          <c:idx val="2"/>
          <c:order val="2"/>
          <c:tx>
            <c:strRef>
              <c:f>'1_Kenh_dau_tu'!$D$1</c:f>
              <c:strCache>
                <c:ptCount val="1"/>
                <c:pt idx="0">
                  <c:v>USD/VND VCB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'1_Kenh_dau_tu'!$A$2:$A$203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'1_Kenh_dau_tu'!$D$2:$D$203</c:f>
              <c:numCache>
                <c:formatCode>0.0%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9.1647982062780242E-2</c:v>
                </c:pt>
                <c:pt idx="10">
                  <c:v>9.1647982062780242E-2</c:v>
                </c:pt>
                <c:pt idx="11">
                  <c:v>9.1647982062780242E-2</c:v>
                </c:pt>
                <c:pt idx="12">
                  <c:v>9.1647982062780242E-2</c:v>
                </c:pt>
                <c:pt idx="13">
                  <c:v>9.1647982062780242E-2</c:v>
                </c:pt>
                <c:pt idx="14">
                  <c:v>0.16661995515695072</c:v>
                </c:pt>
                <c:pt idx="15">
                  <c:v>0.16661995515695072</c:v>
                </c:pt>
                <c:pt idx="16">
                  <c:v>0.16661995515695072</c:v>
                </c:pt>
                <c:pt idx="17">
                  <c:v>0.16661995515695072</c:v>
                </c:pt>
                <c:pt idx="18">
                  <c:v>0.16661995515695072</c:v>
                </c:pt>
                <c:pt idx="19">
                  <c:v>0.16661995515695072</c:v>
                </c:pt>
                <c:pt idx="20">
                  <c:v>0.16661995515695072</c:v>
                </c:pt>
                <c:pt idx="21">
                  <c:v>0.16661995515695072</c:v>
                </c:pt>
                <c:pt idx="22">
                  <c:v>0.16661995515695072</c:v>
                </c:pt>
                <c:pt idx="23">
                  <c:v>0.16661995515695072</c:v>
                </c:pt>
                <c:pt idx="24">
                  <c:v>0.16661995515695072</c:v>
                </c:pt>
                <c:pt idx="25">
                  <c:v>0.16661995515695072</c:v>
                </c:pt>
                <c:pt idx="26">
                  <c:v>0.16661995515695072</c:v>
                </c:pt>
                <c:pt idx="27">
                  <c:v>0.16661995515695072</c:v>
                </c:pt>
                <c:pt idx="28">
                  <c:v>0.16661995515695072</c:v>
                </c:pt>
                <c:pt idx="29">
                  <c:v>0.16661995515695072</c:v>
                </c:pt>
                <c:pt idx="30">
                  <c:v>0.16661995515695072</c:v>
                </c:pt>
                <c:pt idx="31">
                  <c:v>0.16661995515695072</c:v>
                </c:pt>
                <c:pt idx="32">
                  <c:v>0.16661995515695072</c:v>
                </c:pt>
                <c:pt idx="33">
                  <c:v>0.16661995515695072</c:v>
                </c:pt>
                <c:pt idx="34">
                  <c:v>0.16661995515695072</c:v>
                </c:pt>
                <c:pt idx="35">
                  <c:v>0.16661995515695072</c:v>
                </c:pt>
                <c:pt idx="36">
                  <c:v>0.16661995515695072</c:v>
                </c:pt>
                <c:pt idx="37">
                  <c:v>0.16661995515695072</c:v>
                </c:pt>
                <c:pt idx="38">
                  <c:v>0.16661995515695072</c:v>
                </c:pt>
                <c:pt idx="39">
                  <c:v>0.16661995515695072</c:v>
                </c:pt>
                <c:pt idx="40">
                  <c:v>0.16661995515695072</c:v>
                </c:pt>
                <c:pt idx="41">
                  <c:v>0.16661995515695072</c:v>
                </c:pt>
                <c:pt idx="42">
                  <c:v>0.18609865470852016</c:v>
                </c:pt>
                <c:pt idx="43">
                  <c:v>0.19871076233183849</c:v>
                </c:pt>
                <c:pt idx="44">
                  <c:v>0.19871076233183849</c:v>
                </c:pt>
                <c:pt idx="45">
                  <c:v>0.19871076233183849</c:v>
                </c:pt>
                <c:pt idx="46">
                  <c:v>0.19871076233183849</c:v>
                </c:pt>
                <c:pt idx="47">
                  <c:v>0.19871076233183849</c:v>
                </c:pt>
                <c:pt idx="48">
                  <c:v>0.19871076233183849</c:v>
                </c:pt>
                <c:pt idx="49">
                  <c:v>0.19871076233183849</c:v>
                </c:pt>
                <c:pt idx="50">
                  <c:v>0.19871076233183849</c:v>
                </c:pt>
                <c:pt idx="51">
                  <c:v>0.19871076233183849</c:v>
                </c:pt>
                <c:pt idx="52">
                  <c:v>0.19871076233183849</c:v>
                </c:pt>
                <c:pt idx="53">
                  <c:v>0.19871076233183849</c:v>
                </c:pt>
                <c:pt idx="54">
                  <c:v>0.19871076233183849</c:v>
                </c:pt>
                <c:pt idx="55">
                  <c:v>0.19871076233183849</c:v>
                </c:pt>
                <c:pt idx="56">
                  <c:v>0.19871076233183849</c:v>
                </c:pt>
                <c:pt idx="57">
                  <c:v>0.19871076233183849</c:v>
                </c:pt>
                <c:pt idx="58">
                  <c:v>0.19871076233183849</c:v>
                </c:pt>
                <c:pt idx="59">
                  <c:v>0.19871076233183849</c:v>
                </c:pt>
                <c:pt idx="60">
                  <c:v>0.19871076233183849</c:v>
                </c:pt>
                <c:pt idx="61">
                  <c:v>0.19871076233183849</c:v>
                </c:pt>
                <c:pt idx="62">
                  <c:v>0.2090807174887892</c:v>
                </c:pt>
                <c:pt idx="63">
                  <c:v>0.21244394618834073</c:v>
                </c:pt>
                <c:pt idx="64">
                  <c:v>0.22421524663677128</c:v>
                </c:pt>
                <c:pt idx="65">
                  <c:v>0.22421524663677128</c:v>
                </c:pt>
                <c:pt idx="66">
                  <c:v>0.22421524663677128</c:v>
                </c:pt>
                <c:pt idx="67">
                  <c:v>0.26065022421524664</c:v>
                </c:pt>
                <c:pt idx="68">
                  <c:v>0.26177130044843056</c:v>
                </c:pt>
                <c:pt idx="69">
                  <c:v>0.25252242152466375</c:v>
                </c:pt>
                <c:pt idx="70">
                  <c:v>0.2623318385650224</c:v>
                </c:pt>
                <c:pt idx="71">
                  <c:v>0.26121076233183849</c:v>
                </c:pt>
                <c:pt idx="72">
                  <c:v>0.47589686098654704</c:v>
                </c:pt>
                <c:pt idx="73">
                  <c:v>0.25280269058295968</c:v>
                </c:pt>
                <c:pt idx="74">
                  <c:v>0.25140134529147984</c:v>
                </c:pt>
                <c:pt idx="75">
                  <c:v>0.25112107623318392</c:v>
                </c:pt>
                <c:pt idx="76">
                  <c:v>0.25840807174887903</c:v>
                </c:pt>
                <c:pt idx="77">
                  <c:v>0.25252242152466375</c:v>
                </c:pt>
                <c:pt idx="78">
                  <c:v>0.25168161434977576</c:v>
                </c:pt>
                <c:pt idx="79">
                  <c:v>0.25196188340807169</c:v>
                </c:pt>
                <c:pt idx="80">
                  <c:v>0.25196188340807169</c:v>
                </c:pt>
                <c:pt idx="81">
                  <c:v>0.25364349775784745</c:v>
                </c:pt>
                <c:pt idx="82">
                  <c:v>0.27354260089686089</c:v>
                </c:pt>
                <c:pt idx="83">
                  <c:v>0.27718609865470856</c:v>
                </c:pt>
                <c:pt idx="84">
                  <c:v>0.2684977578475336</c:v>
                </c:pt>
                <c:pt idx="85">
                  <c:v>0.27886771300448432</c:v>
                </c:pt>
                <c:pt idx="86">
                  <c:v>0.27746636771300448</c:v>
                </c:pt>
                <c:pt idx="87">
                  <c:v>0.27606502242152464</c:v>
                </c:pt>
                <c:pt idx="88">
                  <c:v>0.27494394618834073</c:v>
                </c:pt>
                <c:pt idx="89">
                  <c:v>0.27634529147982057</c:v>
                </c:pt>
                <c:pt idx="90">
                  <c:v>0.27606502242152464</c:v>
                </c:pt>
                <c:pt idx="91">
                  <c:v>0.27606502242152464</c:v>
                </c:pt>
                <c:pt idx="92">
                  <c:v>0.27578475336322872</c:v>
                </c:pt>
                <c:pt idx="93">
                  <c:v>0.2755044843049328</c:v>
                </c:pt>
                <c:pt idx="94">
                  <c:v>0.2755044843049328</c:v>
                </c:pt>
                <c:pt idx="95">
                  <c:v>0.27438340807174888</c:v>
                </c:pt>
                <c:pt idx="96">
                  <c:v>0.27494394618834073</c:v>
                </c:pt>
                <c:pt idx="97">
                  <c:v>0.27718609865470856</c:v>
                </c:pt>
                <c:pt idx="98">
                  <c:v>0.27914798206278024</c:v>
                </c:pt>
                <c:pt idx="99">
                  <c:v>0.27802690582959633</c:v>
                </c:pt>
                <c:pt idx="100">
                  <c:v>0.281670403587444</c:v>
                </c:pt>
                <c:pt idx="101">
                  <c:v>0.28867713004484297</c:v>
                </c:pt>
                <c:pt idx="102">
                  <c:v>0.30661434977578472</c:v>
                </c:pt>
                <c:pt idx="103">
                  <c:v>0.30829596412556048</c:v>
                </c:pt>
                <c:pt idx="104">
                  <c:v>0.30997757847533625</c:v>
                </c:pt>
                <c:pt idx="105">
                  <c:v>0.31109865470852016</c:v>
                </c:pt>
                <c:pt idx="106">
                  <c:v>0.30969730941704032</c:v>
                </c:pt>
                <c:pt idx="107">
                  <c:v>0.30297085201793728</c:v>
                </c:pt>
                <c:pt idx="108">
                  <c:v>0.3032511210762332</c:v>
                </c:pt>
                <c:pt idx="109">
                  <c:v>0.3032511210762332</c:v>
                </c:pt>
                <c:pt idx="110">
                  <c:v>0.47589686098654704</c:v>
                </c:pt>
                <c:pt idx="111">
                  <c:v>0.30773542600896864</c:v>
                </c:pt>
                <c:pt idx="112">
                  <c:v>0.31614349775784745</c:v>
                </c:pt>
                <c:pt idx="113">
                  <c:v>0.30885650224215255</c:v>
                </c:pt>
                <c:pt idx="114">
                  <c:v>0.30381165919282505</c:v>
                </c:pt>
                <c:pt idx="115">
                  <c:v>0.3032511210762332</c:v>
                </c:pt>
                <c:pt idx="116">
                  <c:v>0.30437219730941711</c:v>
                </c:pt>
                <c:pt idx="117">
                  <c:v>0.30437219730941711</c:v>
                </c:pt>
                <c:pt idx="118">
                  <c:v>0.30297085201793728</c:v>
                </c:pt>
                <c:pt idx="119">
                  <c:v>0.30213004484304928</c:v>
                </c:pt>
                <c:pt idx="120">
                  <c:v>0.30437219730941711</c:v>
                </c:pt>
                <c:pt idx="121">
                  <c:v>0.30661434977578472</c:v>
                </c:pt>
                <c:pt idx="122">
                  <c:v>0.32623318385650224</c:v>
                </c:pt>
                <c:pt idx="123">
                  <c:v>0.31782511210762321</c:v>
                </c:pt>
                <c:pt idx="124">
                  <c:v>0.30997757847533625</c:v>
                </c:pt>
                <c:pt idx="125">
                  <c:v>0.30605381165919288</c:v>
                </c:pt>
                <c:pt idx="126">
                  <c:v>0.30437219730941711</c:v>
                </c:pt>
                <c:pt idx="127">
                  <c:v>0.30437219730941711</c:v>
                </c:pt>
                <c:pt idx="128">
                  <c:v>0.30437219730941711</c:v>
                </c:pt>
                <c:pt idx="129">
                  <c:v>0.30437219730941711</c:v>
                </c:pt>
                <c:pt idx="130">
                  <c:v>0.30213004484304928</c:v>
                </c:pt>
                <c:pt idx="131">
                  <c:v>0.30128923766816151</c:v>
                </c:pt>
                <c:pt idx="132">
                  <c:v>0.297085201793722</c:v>
                </c:pt>
                <c:pt idx="133">
                  <c:v>0.29484304932735417</c:v>
                </c:pt>
                <c:pt idx="134">
                  <c:v>0.29876681614349776</c:v>
                </c:pt>
                <c:pt idx="135">
                  <c:v>0.297085201793722</c:v>
                </c:pt>
                <c:pt idx="136">
                  <c:v>0.29736547085201792</c:v>
                </c:pt>
                <c:pt idx="137">
                  <c:v>0.29596412556053808</c:v>
                </c:pt>
                <c:pt idx="138">
                  <c:v>0.29204035874439471</c:v>
                </c:pt>
                <c:pt idx="139">
                  <c:v>0.28195067264573992</c:v>
                </c:pt>
                <c:pt idx="140">
                  <c:v>0.28139013452914807</c:v>
                </c:pt>
                <c:pt idx="141">
                  <c:v>0.280829596412556</c:v>
                </c:pt>
                <c:pt idx="142">
                  <c:v>0.27802690582959633</c:v>
                </c:pt>
                <c:pt idx="143">
                  <c:v>0.2847533632286996</c:v>
                </c:pt>
                <c:pt idx="144">
                  <c:v>0.27690582959641263</c:v>
                </c:pt>
                <c:pt idx="145">
                  <c:v>0.28643497757847536</c:v>
                </c:pt>
                <c:pt idx="146">
                  <c:v>0.28811659192825112</c:v>
                </c:pt>
                <c:pt idx="147">
                  <c:v>0.29456278026905824</c:v>
                </c:pt>
                <c:pt idx="148">
                  <c:v>0.30773542600896864</c:v>
                </c:pt>
                <c:pt idx="149">
                  <c:v>0.3125</c:v>
                </c:pt>
                <c:pt idx="150">
                  <c:v>0.31614349775784745</c:v>
                </c:pt>
                <c:pt idx="151">
                  <c:v>0.32286995515695072</c:v>
                </c:pt>
                <c:pt idx="152">
                  <c:v>0.34585201793721976</c:v>
                </c:pt>
                <c:pt idx="153">
                  <c:v>0.39456278026905833</c:v>
                </c:pt>
                <c:pt idx="154">
                  <c:v>0.39013452914798208</c:v>
                </c:pt>
                <c:pt idx="155">
                  <c:v>0.33015695067264583</c:v>
                </c:pt>
                <c:pt idx="156">
                  <c:v>0.32399103139013463</c:v>
                </c:pt>
                <c:pt idx="157">
                  <c:v>0.34192825112107617</c:v>
                </c:pt>
                <c:pt idx="158">
                  <c:v>0.32455156950672648</c:v>
                </c:pt>
                <c:pt idx="159">
                  <c:v>0.32455156950672648</c:v>
                </c:pt>
                <c:pt idx="160">
                  <c:v>0.32651345291479816</c:v>
                </c:pt>
                <c:pt idx="161">
                  <c:v>0.33127802690582953</c:v>
                </c:pt>
                <c:pt idx="162">
                  <c:v>0.3371636771300448</c:v>
                </c:pt>
                <c:pt idx="163">
                  <c:v>0.35874439461883401</c:v>
                </c:pt>
                <c:pt idx="164">
                  <c:v>0.37107623318385641</c:v>
                </c:pt>
                <c:pt idx="165">
                  <c:v>0.38621076233183849</c:v>
                </c:pt>
                <c:pt idx="166">
                  <c:v>0.36939461883408065</c:v>
                </c:pt>
                <c:pt idx="167">
                  <c:v>0.3688340807174888</c:v>
                </c:pt>
                <c:pt idx="168">
                  <c:v>0.37864349775784745</c:v>
                </c:pt>
                <c:pt idx="169">
                  <c:v>0.39125560538116599</c:v>
                </c:pt>
                <c:pt idx="170">
                  <c:v>0.3996636771300448</c:v>
                </c:pt>
                <c:pt idx="171">
                  <c:v>0.42701793721973091</c:v>
                </c:pt>
                <c:pt idx="172">
                  <c:v>0.42791479820627809</c:v>
                </c:pt>
                <c:pt idx="173">
                  <c:v>0.42785874439461891</c:v>
                </c:pt>
                <c:pt idx="174">
                  <c:v>0.42488789237668168</c:v>
                </c:pt>
                <c:pt idx="175">
                  <c:v>0.40302690582959633</c:v>
                </c:pt>
                <c:pt idx="176">
                  <c:v>0.38677130044843056</c:v>
                </c:pt>
                <c:pt idx="177">
                  <c:v>0.42656950672645744</c:v>
                </c:pt>
                <c:pt idx="178">
                  <c:v>0.42729820627802684</c:v>
                </c:pt>
                <c:pt idx="179">
                  <c:v>0.43223094170403598</c:v>
                </c:pt>
                <c:pt idx="180">
                  <c:v>0.41816143497757841</c:v>
                </c:pt>
                <c:pt idx="181">
                  <c:v>0.44226457399103136</c:v>
                </c:pt>
                <c:pt idx="182">
                  <c:v>0.44282511210762321</c:v>
                </c:pt>
                <c:pt idx="183">
                  <c:v>0.46748878923766823</c:v>
                </c:pt>
                <c:pt idx="184">
                  <c:v>0.46860986547085193</c:v>
                </c:pt>
                <c:pt idx="185">
                  <c:v>0.47421524663677128</c:v>
                </c:pt>
                <c:pt idx="186">
                  <c:v>0.47869955156950672</c:v>
                </c:pt>
                <c:pt idx="187">
                  <c:v>0.48553811659192836</c:v>
                </c:pt>
                <c:pt idx="188">
                  <c:v>0.48239910313901335</c:v>
                </c:pt>
                <c:pt idx="189">
                  <c:v>0.4768497757847534</c:v>
                </c:pt>
                <c:pt idx="190">
                  <c:v>0.48049327354260085</c:v>
                </c:pt>
                <c:pt idx="191">
                  <c:v>0.47853139013452917</c:v>
                </c:pt>
                <c:pt idx="192">
                  <c:v>0.46356502242152464</c:v>
                </c:pt>
                <c:pt idx="193">
                  <c:v>0.47029147982062791</c:v>
                </c:pt>
                <c:pt idx="194">
                  <c:v>0.47741031390134525</c:v>
                </c:pt>
                <c:pt idx="195">
                  <c:v>0.4780269058295965</c:v>
                </c:pt>
                <c:pt idx="196">
                  <c:v>0.47954035874439471</c:v>
                </c:pt>
                <c:pt idx="197">
                  <c:v>0.48352017937219727</c:v>
                </c:pt>
                <c:pt idx="198">
                  <c:v>0.48486547085201792</c:v>
                </c:pt>
                <c:pt idx="199">
                  <c:v>0.48262331838565031</c:v>
                </c:pt>
                <c:pt idx="200">
                  <c:v>0.48262331838565031</c:v>
                </c:pt>
                <c:pt idx="201">
                  <c:v>0.48262331838565031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3C-4A59-B532-DBB90246708A}"/>
            </c:ext>
          </c:extLst>
        </c:ser>
        <c:ser>
          <c:idx val="3"/>
          <c:order val="3"/>
          <c:tx>
            <c:strRef>
              <c:f>'1_Kenh_dau_tu'!$E$1</c:f>
              <c:strCache>
                <c:ptCount val="1"/>
                <c:pt idx="0">
                  <c:v>VN-Index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'1_Kenh_dau_tu'!$A$2:$A$203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'1_Kenh_dau_tu'!$E$2:$E$203</c:f>
              <c:numCache>
                <c:formatCode>0.0%</c:formatCode>
                <c:ptCount val="202"/>
                <c:pt idx="0">
                  <c:v>0</c:v>
                </c:pt>
                <c:pt idx="1">
                  <c:v>3.0912863070539309E-2</c:v>
                </c:pt>
                <c:pt idx="2">
                  <c:v>3.5684647302904438E-2</c:v>
                </c:pt>
                <c:pt idx="3">
                  <c:v>0.12531120331950207</c:v>
                </c:pt>
                <c:pt idx="4">
                  <c:v>5.2697095435684682E-2</c:v>
                </c:pt>
                <c:pt idx="5">
                  <c:v>5.2074688796680535E-2</c:v>
                </c:pt>
                <c:pt idx="6">
                  <c:v>2.4688796680497838E-2</c:v>
                </c:pt>
                <c:pt idx="7">
                  <c:v>-5.5809128630705307E-2</c:v>
                </c:pt>
                <c:pt idx="8">
                  <c:v>-5.7053941908713712E-2</c:v>
                </c:pt>
                <c:pt idx="9">
                  <c:v>-6.0995850622406644E-2</c:v>
                </c:pt>
                <c:pt idx="10">
                  <c:v>-6.3070539419087135E-2</c:v>
                </c:pt>
                <c:pt idx="11">
                  <c:v>5.6016597510373245E-3</c:v>
                </c:pt>
                <c:pt idx="12">
                  <c:v>5.9336099585062252E-2</c:v>
                </c:pt>
                <c:pt idx="13">
                  <c:v>-4.2738589211618327E-2</c:v>
                </c:pt>
                <c:pt idx="14">
                  <c:v>-4.3360995850622364E-2</c:v>
                </c:pt>
                <c:pt idx="15">
                  <c:v>-3.9419087136929321E-3</c:v>
                </c:pt>
                <c:pt idx="16">
                  <c:v>-0.12572614107883817</c:v>
                </c:pt>
                <c:pt idx="17">
                  <c:v>-0.10269709543568462</c:v>
                </c:pt>
                <c:pt idx="18">
                  <c:v>-0.15829875518672198</c:v>
                </c:pt>
                <c:pt idx="19">
                  <c:v>-0.11736514522821573</c:v>
                </c:pt>
                <c:pt idx="20">
                  <c:v>-0.11286307053941902</c:v>
                </c:pt>
                <c:pt idx="21">
                  <c:v>-0.12695020746887964</c:v>
                </c:pt>
                <c:pt idx="22">
                  <c:v>-0.2101867219917013</c:v>
                </c:pt>
                <c:pt idx="23">
                  <c:v>-0.27064315352697088</c:v>
                </c:pt>
                <c:pt idx="24">
                  <c:v>-0.19508298755186715</c:v>
                </c:pt>
                <c:pt idx="25">
                  <c:v>-0.1210788381742739</c:v>
                </c:pt>
                <c:pt idx="26">
                  <c:v>-8.5000000000000075E-2</c:v>
                </c:pt>
                <c:pt idx="27">
                  <c:v>-1.7074688796680504E-2</c:v>
                </c:pt>
                <c:pt idx="28">
                  <c:v>-0.10954356846473035</c:v>
                </c:pt>
                <c:pt idx="29">
                  <c:v>-0.12371369294605805</c:v>
                </c:pt>
                <c:pt idx="30">
                  <c:v>-0.14008298755186721</c:v>
                </c:pt>
                <c:pt idx="31">
                  <c:v>-0.1783817427385892</c:v>
                </c:pt>
                <c:pt idx="32">
                  <c:v>-0.18553941908713689</c:v>
                </c:pt>
                <c:pt idx="33">
                  <c:v>-0.19414937759336093</c:v>
                </c:pt>
                <c:pt idx="34">
                  <c:v>-0.21614107883817424</c:v>
                </c:pt>
                <c:pt idx="35">
                  <c:v>-0.14163900414937758</c:v>
                </c:pt>
                <c:pt idx="36">
                  <c:v>-4.5850622406639063E-3</c:v>
                </c:pt>
                <c:pt idx="37">
                  <c:v>-1.5435684647302939E-2</c:v>
                </c:pt>
                <c:pt idx="38">
                  <c:v>1.8755186721991723E-2</c:v>
                </c:pt>
                <c:pt idx="39">
                  <c:v>-1.5539419087136963E-2</c:v>
                </c:pt>
                <c:pt idx="40">
                  <c:v>7.5497925311203362E-2</c:v>
                </c:pt>
                <c:pt idx="41">
                  <c:v>-1.8049792531120712E-3</c:v>
                </c:pt>
                <c:pt idx="42">
                  <c:v>2.0435684647303054E-2</c:v>
                </c:pt>
                <c:pt idx="43">
                  <c:v>-1.9294605809128673E-2</c:v>
                </c:pt>
                <c:pt idx="44">
                  <c:v>2.2053941908713792E-2</c:v>
                </c:pt>
                <c:pt idx="45">
                  <c:v>3.1970954356846493E-2</c:v>
                </c:pt>
                <c:pt idx="46">
                  <c:v>5.3485477178423224E-2</c:v>
                </c:pt>
                <c:pt idx="47">
                  <c:v>4.6950207468879679E-2</c:v>
                </c:pt>
                <c:pt idx="48">
                  <c:v>0.15460580912863064</c:v>
                </c:pt>
                <c:pt idx="49">
                  <c:v>0.2167634854771785</c:v>
                </c:pt>
                <c:pt idx="50">
                  <c:v>0.22732365145228228</c:v>
                </c:pt>
                <c:pt idx="51">
                  <c:v>0.19917012448132776</c:v>
                </c:pt>
                <c:pt idx="52">
                  <c:v>0.16601659751037334</c:v>
                </c:pt>
                <c:pt idx="53">
                  <c:v>0.19943983402489618</c:v>
                </c:pt>
                <c:pt idx="54">
                  <c:v>0.23665975103734449</c:v>
                </c:pt>
                <c:pt idx="55">
                  <c:v>0.32085062240663897</c:v>
                </c:pt>
                <c:pt idx="56">
                  <c:v>0.24232365145228196</c:v>
                </c:pt>
                <c:pt idx="57">
                  <c:v>0.24655601659751047</c:v>
                </c:pt>
                <c:pt idx="58">
                  <c:v>0.17547717842323651</c:v>
                </c:pt>
                <c:pt idx="59">
                  <c:v>0.13201244813278001</c:v>
                </c:pt>
                <c:pt idx="60">
                  <c:v>0.19516597510373446</c:v>
                </c:pt>
                <c:pt idx="61">
                  <c:v>0.22939834024896277</c:v>
                </c:pt>
                <c:pt idx="62">
                  <c:v>0.14342323651452271</c:v>
                </c:pt>
                <c:pt idx="63">
                  <c:v>0.16680497925311188</c:v>
                </c:pt>
                <c:pt idx="64">
                  <c:v>0.18165975103734433</c:v>
                </c:pt>
                <c:pt idx="65">
                  <c:v>0.23039419087136914</c:v>
                </c:pt>
                <c:pt idx="66">
                  <c:v>0.28850622406639004</c:v>
                </c:pt>
                <c:pt idx="67">
                  <c:v>0.17168049792531126</c:v>
                </c:pt>
                <c:pt idx="68">
                  <c:v>0.16730290456431529</c:v>
                </c:pt>
                <c:pt idx="69">
                  <c:v>0.26010373443983403</c:v>
                </c:pt>
                <c:pt idx="70">
                  <c:v>0.1892116182572614</c:v>
                </c:pt>
                <c:pt idx="71">
                  <c:v>0.20130705394190862</c:v>
                </c:pt>
                <c:pt idx="72">
                  <c:v>0.13122406639004147</c:v>
                </c:pt>
                <c:pt idx="73">
                  <c:v>0.15975103734439844</c:v>
                </c:pt>
                <c:pt idx="74">
                  <c:v>0.16390041493775942</c:v>
                </c:pt>
                <c:pt idx="75">
                  <c:v>0.24143153526970962</c:v>
                </c:pt>
                <c:pt idx="76">
                  <c:v>0.28215767634854783</c:v>
                </c:pt>
                <c:pt idx="77">
                  <c:v>0.31120331950207469</c:v>
                </c:pt>
                <c:pt idx="78">
                  <c:v>0.35317427385892119</c:v>
                </c:pt>
                <c:pt idx="79">
                  <c:v>0.40041493775933601</c:v>
                </c:pt>
                <c:pt idx="80">
                  <c:v>0.42323651452282163</c:v>
                </c:pt>
                <c:pt idx="81">
                  <c:v>0.4024896265560165</c:v>
                </c:pt>
                <c:pt idx="82">
                  <c:v>0.3796680497925311</c:v>
                </c:pt>
                <c:pt idx="83">
                  <c:v>0.37939834024896268</c:v>
                </c:pt>
                <c:pt idx="84">
                  <c:v>0.44663900414937752</c:v>
                </c:pt>
                <c:pt idx="85">
                  <c:v>0.47510373443983411</c:v>
                </c:pt>
                <c:pt idx="86">
                  <c:v>0.49792531120331951</c:v>
                </c:pt>
                <c:pt idx="87">
                  <c:v>0.48906639004149377</c:v>
                </c:pt>
                <c:pt idx="88">
                  <c:v>0.53112033195020736</c:v>
                </c:pt>
                <c:pt idx="89">
                  <c:v>0.60995850622406644</c:v>
                </c:pt>
                <c:pt idx="90">
                  <c:v>0.62655601659751037</c:v>
                </c:pt>
                <c:pt idx="91">
                  <c:v>0.62398340248962647</c:v>
                </c:pt>
                <c:pt idx="92">
                  <c:v>0.66892116182572603</c:v>
                </c:pt>
                <c:pt idx="93">
                  <c:v>0.7370954356846473</c:v>
                </c:pt>
                <c:pt idx="94">
                  <c:v>0.97080912863070523</c:v>
                </c:pt>
                <c:pt idx="95">
                  <c:v>1.0419917012448132</c:v>
                </c:pt>
                <c:pt idx="96">
                  <c:v>1.3036514522821574</c:v>
                </c:pt>
                <c:pt idx="97">
                  <c:v>1.3337551867219917</c:v>
                </c:pt>
                <c:pt idx="98">
                  <c:v>1.4366390041493777</c:v>
                </c:pt>
                <c:pt idx="99">
                  <c:v>1.1789626556016599</c:v>
                </c:pt>
                <c:pt idx="100">
                  <c:v>1.0150414937759336</c:v>
                </c:pt>
                <c:pt idx="101">
                  <c:v>0.99331950207468878</c:v>
                </c:pt>
                <c:pt idx="102">
                  <c:v>0.98421161825726133</c:v>
                </c:pt>
                <c:pt idx="103">
                  <c:v>1.0529875518672198</c:v>
                </c:pt>
                <c:pt idx="104">
                  <c:v>1.1102282157676346</c:v>
                </c:pt>
                <c:pt idx="105">
                  <c:v>0.89784232365145233</c:v>
                </c:pt>
                <c:pt idx="106">
                  <c:v>0.92228215767634847</c:v>
                </c:pt>
                <c:pt idx="107">
                  <c:v>0.85174273858921157</c:v>
                </c:pt>
                <c:pt idx="108">
                  <c:v>0.88931535269709538</c:v>
                </c:pt>
                <c:pt idx="109">
                  <c:v>1.0030497925311206</c:v>
                </c:pt>
                <c:pt idx="110">
                  <c:v>1.0347717842323649</c:v>
                </c:pt>
                <c:pt idx="111">
                  <c:v>1.032448132780083</c:v>
                </c:pt>
                <c:pt idx="112">
                  <c:v>0.99145228215767633</c:v>
                </c:pt>
                <c:pt idx="113">
                  <c:v>0.97082987551867239</c:v>
                </c:pt>
                <c:pt idx="114">
                  <c:v>1.0573858921161827</c:v>
                </c:pt>
                <c:pt idx="115">
                  <c:v>1.0416182572614106</c:v>
                </c:pt>
                <c:pt idx="116">
                  <c:v>1.0675518672199167</c:v>
                </c:pt>
                <c:pt idx="117">
                  <c:v>1.0722406639004149</c:v>
                </c:pt>
                <c:pt idx="118">
                  <c:v>1.0140041493775933</c:v>
                </c:pt>
                <c:pt idx="119">
                  <c:v>0.99375518672199181</c:v>
                </c:pt>
                <c:pt idx="120">
                  <c:v>0.94319502074688799</c:v>
                </c:pt>
                <c:pt idx="121">
                  <c:v>0.83026970954356849</c:v>
                </c:pt>
                <c:pt idx="122">
                  <c:v>0.37454356846473025</c:v>
                </c:pt>
                <c:pt idx="123">
                  <c:v>0.59566390041493777</c:v>
                </c:pt>
                <c:pt idx="124">
                  <c:v>0.79350622406639015</c:v>
                </c:pt>
                <c:pt idx="125">
                  <c:v>0.71184647302904569</c:v>
                </c:pt>
                <c:pt idx="126">
                  <c:v>0.65641078838174272</c:v>
                </c:pt>
                <c:pt idx="127">
                  <c:v>0.82914937759336094</c:v>
                </c:pt>
                <c:pt idx="128">
                  <c:v>0.87802904564315365</c:v>
                </c:pt>
                <c:pt idx="129">
                  <c:v>0.92006224066390052</c:v>
                </c:pt>
                <c:pt idx="130">
                  <c:v>1.0810788381742737</c:v>
                </c:pt>
                <c:pt idx="131">
                  <c:v>1.2901867219917009</c:v>
                </c:pt>
                <c:pt idx="132">
                  <c:v>1.1921369294605806</c:v>
                </c:pt>
                <c:pt idx="133">
                  <c:v>1.4242116182572615</c:v>
                </c:pt>
                <c:pt idx="134">
                  <c:v>1.4718672199170126</c:v>
                </c:pt>
                <c:pt idx="135">
                  <c:v>1.5713485477178426</c:v>
                </c:pt>
                <c:pt idx="136">
                  <c:v>1.7552904564315353</c:v>
                </c:pt>
                <c:pt idx="137">
                  <c:v>1.9223029045643152</c:v>
                </c:pt>
                <c:pt idx="138">
                  <c:v>1.7179460580912864</c:v>
                </c:pt>
                <c:pt idx="139">
                  <c:v>1.7623858921161828</c:v>
                </c:pt>
                <c:pt idx="140">
                  <c:v>1.7843568464730288</c:v>
                </c:pt>
                <c:pt idx="141">
                  <c:v>1.9964107883817426</c:v>
                </c:pt>
                <c:pt idx="142">
                  <c:v>2.0673029045643156</c:v>
                </c:pt>
                <c:pt idx="143">
                  <c:v>2.1084647302904562</c:v>
                </c:pt>
                <c:pt idx="144">
                  <c:v>2.0683817427385893</c:v>
                </c:pt>
                <c:pt idx="145">
                  <c:v>2.0915560165975107</c:v>
                </c:pt>
                <c:pt idx="146">
                  <c:v>2.0957468879668051</c:v>
                </c:pt>
                <c:pt idx="147">
                  <c:v>1.8356846473029043</c:v>
                </c:pt>
                <c:pt idx="148">
                  <c:v>1.681908713692946</c:v>
                </c:pt>
                <c:pt idx="149">
                  <c:v>1.4846473029045639</c:v>
                </c:pt>
                <c:pt idx="150">
                  <c:v>1.5027593360995848</c:v>
                </c:pt>
                <c:pt idx="151">
                  <c:v>1.6566597510373442</c:v>
                </c:pt>
                <c:pt idx="152">
                  <c:v>1.3487759336099585</c:v>
                </c:pt>
                <c:pt idx="153">
                  <c:v>1.1326556016597511</c:v>
                </c:pt>
                <c:pt idx="154">
                  <c:v>1.1751452282157677</c:v>
                </c:pt>
                <c:pt idx="155">
                  <c:v>1.0893983402489629</c:v>
                </c:pt>
                <c:pt idx="156">
                  <c:v>1.3053526970954357</c:v>
                </c:pt>
                <c:pt idx="157">
                  <c:v>1.1258921161825728</c:v>
                </c:pt>
                <c:pt idx="158">
                  <c:v>1.2087966804979255</c:v>
                </c:pt>
                <c:pt idx="159">
                  <c:v>1.1765975103734436</c:v>
                </c:pt>
                <c:pt idx="160">
                  <c:v>1.2306431535269713</c:v>
                </c:pt>
                <c:pt idx="161">
                  <c:v>1.3240248962655601</c:v>
                </c:pt>
                <c:pt idx="162">
                  <c:v>1.5371369294605812</c:v>
                </c:pt>
                <c:pt idx="163">
                  <c:v>1.5395228215767633</c:v>
                </c:pt>
                <c:pt idx="164">
                  <c:v>1.3945020746887971</c:v>
                </c:pt>
                <c:pt idx="165">
                  <c:v>1.1331742738589212</c:v>
                </c:pt>
                <c:pt idx="166">
                  <c:v>1.2699792531120333</c:v>
                </c:pt>
                <c:pt idx="167">
                  <c:v>1.3442531120331953</c:v>
                </c:pt>
                <c:pt idx="168">
                  <c:v>1.4155809128630703</c:v>
                </c:pt>
                <c:pt idx="169">
                  <c:v>1.59902489626556</c:v>
                </c:pt>
                <c:pt idx="170">
                  <c:v>1.6640871369294605</c:v>
                </c:pt>
                <c:pt idx="171">
                  <c:v>1.5093775933609956</c:v>
                </c:pt>
                <c:pt idx="172">
                  <c:v>1.6176763485477177</c:v>
                </c:pt>
                <c:pt idx="173">
                  <c:v>1.5836514522821576</c:v>
                </c:pt>
                <c:pt idx="174">
                  <c:v>1.59649377593361</c:v>
                </c:pt>
                <c:pt idx="175">
                  <c:v>1.6636307053941906</c:v>
                </c:pt>
                <c:pt idx="176">
                  <c:v>1.6720746887966804</c:v>
                </c:pt>
                <c:pt idx="177">
                  <c:v>1.6234024896265562</c:v>
                </c:pt>
                <c:pt idx="178">
                  <c:v>1.5943153526970955</c:v>
                </c:pt>
                <c:pt idx="179">
                  <c:v>1.6281742738589209</c:v>
                </c:pt>
                <c:pt idx="180">
                  <c:v>1.6245850622406639</c:v>
                </c:pt>
                <c:pt idx="181">
                  <c:v>1.7082157676348544</c:v>
                </c:pt>
                <c:pt idx="182">
                  <c:v>1.7113278008298751</c:v>
                </c:pt>
                <c:pt idx="183">
                  <c:v>1.5441908713692944</c:v>
                </c:pt>
                <c:pt idx="184">
                  <c:v>1.7647302904564315</c:v>
                </c:pt>
                <c:pt idx="185">
                  <c:v>1.8549170124481327</c:v>
                </c:pt>
                <c:pt idx="186">
                  <c:v>2.1172614107883816</c:v>
                </c:pt>
                <c:pt idx="187">
                  <c:v>2.4900622406639004</c:v>
                </c:pt>
                <c:pt idx="188">
                  <c:v>2.4475103734439836</c:v>
                </c:pt>
                <c:pt idx="189">
                  <c:v>2.4017634854771788</c:v>
                </c:pt>
                <c:pt idx="190">
                  <c:v>2.5082780082987552</c:v>
                </c:pt>
                <c:pt idx="191">
                  <c:v>2.7022614107883816</c:v>
                </c:pt>
                <c:pt idx="192">
                  <c:v>2.7946887966804979</c:v>
                </c:pt>
                <c:pt idx="193">
                  <c:v>2.9010995850622403</c:v>
                </c:pt>
                <c:pt idx="194">
                  <c:v>2.4740456431535272</c:v>
                </c:pt>
                <c:pt idx="195">
                  <c:v>2.8466804979253109</c:v>
                </c:pt>
                <c:pt idx="196">
                  <c:v>2.8661618257261412</c:v>
                </c:pt>
                <c:pt idx="197">
                  <c:v>2.8589419087136929</c:v>
                </c:pt>
                <c:pt idx="198">
                  <c:v>2.6012033195020745</c:v>
                </c:pt>
                <c:pt idx="199">
                  <c:v>2.8010788381742735</c:v>
                </c:pt>
                <c:pt idx="200">
                  <c:v>2.6693360995850619</c:v>
                </c:pt>
                <c:pt idx="201">
                  <c:v>2.6377385892116183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3C-4A59-B532-DBB90246708A}"/>
            </c:ext>
          </c:extLst>
        </c:ser>
        <c:ser>
          <c:idx val="4"/>
          <c:order val="4"/>
          <c:tx>
            <c:strRef>
              <c:f>'1_Kenh_dau_tu'!$F$1</c:f>
              <c:strCache>
                <c:ptCount val="1"/>
                <c:pt idx="0">
                  <c:v>LS tiết kiệm 12T Big4 BQ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'1_Kenh_dau_tu'!$A$2:$A$203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'1_Kenh_dau_tu'!$F$2:$F$203</c:f>
              <c:numCache>
                <c:formatCode>0.0%</c:formatCode>
                <c:ptCount val="202"/>
                <c:pt idx="0">
                  <c:v>9.3281249999999094E-3</c:v>
                </c:pt>
                <c:pt idx="1">
                  <c:v>1.874326391601544E-2</c:v>
                </c:pt>
                <c:pt idx="2">
                  <c:v>2.8246228424732012E-2</c:v>
                </c:pt>
                <c:pt idx="3">
                  <c:v>3.7837837774256311E-2</c:v>
                </c:pt>
                <c:pt idx="4">
                  <c:v>4.7518918854744241E-2</c:v>
                </c:pt>
                <c:pt idx="5">
                  <c:v>5.729030626968612E-2</c:v>
                </c:pt>
                <c:pt idx="6">
                  <c:v>6.7152842407858016E-2</c:v>
                </c:pt>
                <c:pt idx="7">
                  <c:v>7.7107377515943654E-2</c:v>
                </c:pt>
                <c:pt idx="8">
                  <c:v>8.7154769771834451E-2</c:v>
                </c:pt>
                <c:pt idx="9">
                  <c:v>9.7295885358612333E-2</c:v>
                </c:pt>
                <c:pt idx="10">
                  <c:v>0.10753159853922312</c:v>
                </c:pt>
                <c:pt idx="11">
                  <c:v>0.11786279173184666</c:v>
                </c:pt>
                <c:pt idx="12">
                  <c:v>0.13089846921192971</c:v>
                </c:pt>
                <c:pt idx="13">
                  <c:v>0.14408615898602717</c:v>
                </c:pt>
                <c:pt idx="14">
                  <c:v>0.1574276337075029</c:v>
                </c:pt>
                <c:pt idx="15">
                  <c:v>0.17092468670107452</c:v>
                </c:pt>
                <c:pt idx="16">
                  <c:v>0.18457913220386746</c:v>
                </c:pt>
                <c:pt idx="17">
                  <c:v>0.19839280560927985</c:v>
                </c:pt>
                <c:pt idx="18">
                  <c:v>0.21236756371369103</c:v>
                </c:pt>
                <c:pt idx="19">
                  <c:v>0.22650528496604716</c:v>
                </c:pt>
                <c:pt idx="20">
                  <c:v>0.2408078697203575</c:v>
                </c:pt>
                <c:pt idx="21">
                  <c:v>0.25527724049113387</c:v>
                </c:pt>
                <c:pt idx="22">
                  <c:v>0.26991534221181102</c:v>
                </c:pt>
                <c:pt idx="23">
                  <c:v>0.28472414249617839</c:v>
                </c:pt>
                <c:pt idx="24">
                  <c:v>0.29596940428901086</c:v>
                </c:pt>
                <c:pt idx="25">
                  <c:v>0.30731309648305283</c:v>
                </c:pt>
                <c:pt idx="26">
                  <c:v>0.31875608064507421</c:v>
                </c:pt>
                <c:pt idx="27">
                  <c:v>0.33029922588318716</c:v>
                </c:pt>
                <c:pt idx="28">
                  <c:v>0.34194340891285524</c:v>
                </c:pt>
                <c:pt idx="29">
                  <c:v>0.35368951412348104</c:v>
                </c:pt>
                <c:pt idx="30">
                  <c:v>0.3655384336455767</c:v>
                </c:pt>
                <c:pt idx="31">
                  <c:v>0.37749106741852256</c:v>
                </c:pt>
                <c:pt idx="32">
                  <c:v>0.38954832325891831</c:v>
                </c:pt>
                <c:pt idx="33">
                  <c:v>0.40171111692953265</c:v>
                </c:pt>
                <c:pt idx="34">
                  <c:v>0.41398037220885664</c:v>
                </c:pt>
                <c:pt idx="35">
                  <c:v>0.42635702096126571</c:v>
                </c:pt>
                <c:pt idx="36">
                  <c:v>0.43484384523598507</c:v>
                </c:pt>
                <c:pt idx="37">
                  <c:v>0.443381166115139</c:v>
                </c:pt>
                <c:pt idx="38">
                  <c:v>0.45196928405352388</c:v>
                </c:pt>
                <c:pt idx="39">
                  <c:v>0.46060850129364228</c:v>
                </c:pt>
                <c:pt idx="40">
                  <c:v>0.46929912187633938</c:v>
                </c:pt>
                <c:pt idx="41">
                  <c:v>0.47804145165150347</c:v>
                </c:pt>
                <c:pt idx="42">
                  <c:v>0.48683579828882984</c:v>
                </c:pt>
                <c:pt idx="43">
                  <c:v>0.49568247128864829</c:v>
                </c:pt>
                <c:pt idx="44">
                  <c:v>0.50458178199281556</c:v>
                </c:pt>
                <c:pt idx="45">
                  <c:v>0.51353404359567256</c:v>
                </c:pt>
                <c:pt idx="46">
                  <c:v>0.52253957115506666</c:v>
                </c:pt>
                <c:pt idx="47">
                  <c:v>0.53159868160343926</c:v>
                </c:pt>
                <c:pt idx="48">
                  <c:v>0.53894716444454915</c:v>
                </c:pt>
                <c:pt idx="49">
                  <c:v>0.54633090469395706</c:v>
                </c:pt>
                <c:pt idx="50">
                  <c:v>0.55375007151376998</c:v>
                </c:pt>
                <c:pt idx="51">
                  <c:v>0.56120483487772055</c:v>
                </c:pt>
                <c:pt idx="52">
                  <c:v>0.56869536557506106</c:v>
                </c:pt>
                <c:pt idx="53">
                  <c:v>0.57622183521447656</c:v>
                </c:pt>
                <c:pt idx="54">
                  <c:v>0.58378441622801613</c:v>
                </c:pt>
                <c:pt idx="55">
                  <c:v>0.59138328187504352</c:v>
                </c:pt>
                <c:pt idx="56">
                  <c:v>0.59901860624620662</c:v>
                </c:pt>
                <c:pt idx="57">
                  <c:v>0.6066905642674254</c:v>
                </c:pt>
                <c:pt idx="58">
                  <c:v>0.61439933170390026</c:v>
                </c:pt>
                <c:pt idx="59">
                  <c:v>0.62214508516413813</c:v>
                </c:pt>
                <c:pt idx="60">
                  <c:v>0.62856269665731901</c:v>
                </c:pt>
                <c:pt idx="61">
                  <c:v>0.63500569782596972</c:v>
                </c:pt>
                <c:pt idx="62">
                  <c:v>0.64147418911799381</c:v>
                </c:pt>
                <c:pt idx="63">
                  <c:v>0.64796827137869206</c:v>
                </c:pt>
                <c:pt idx="64">
                  <c:v>0.65448804585233411</c:v>
                </c:pt>
                <c:pt idx="65">
                  <c:v>0.66103361418373763</c:v>
                </c:pt>
                <c:pt idx="66">
                  <c:v>0.66760507841985217</c:v>
                </c:pt>
                <c:pt idx="67">
                  <c:v>0.6742025410113508</c:v>
                </c:pt>
                <c:pt idx="68">
                  <c:v>0.68082610481422723</c:v>
                </c:pt>
                <c:pt idx="69">
                  <c:v>0.68747587309139879</c:v>
                </c:pt>
                <c:pt idx="70">
                  <c:v>0.69415194951431691</c:v>
                </c:pt>
                <c:pt idx="71">
                  <c:v>0.70085443816458315</c:v>
                </c:pt>
                <c:pt idx="72">
                  <c:v>0.70964218609510032</c:v>
                </c:pt>
                <c:pt idx="73">
                  <c:v>0.71847533738992508</c:v>
                </c:pt>
                <c:pt idx="74">
                  <c:v>0.7273541266331065</c:v>
                </c:pt>
                <c:pt idx="75">
                  <c:v>0.73617802729665716</c:v>
                </c:pt>
                <c:pt idx="76">
                  <c:v>0.74503976931098381</c:v>
                </c:pt>
                <c:pt idx="77">
                  <c:v>0.75410428144601593</c:v>
                </c:pt>
                <c:pt idx="78">
                  <c:v>0.76325674491452888</c:v>
                </c:pt>
                <c:pt idx="79">
                  <c:v>0.77295465701155885</c:v>
                </c:pt>
                <c:pt idx="80">
                  <c:v>0.78280563632457922</c:v>
                </c:pt>
                <c:pt idx="81">
                  <c:v>0.79272249267663453</c:v>
                </c:pt>
                <c:pt idx="82">
                  <c:v>0.80269451154214821</c:v>
                </c:pt>
                <c:pt idx="83">
                  <c:v>0.81272199976260118</c:v>
                </c:pt>
                <c:pt idx="84">
                  <c:v>0.82264689635673149</c:v>
                </c:pt>
                <c:pt idx="85">
                  <c:v>0.83269315246403108</c:v>
                </c:pt>
                <c:pt idx="86">
                  <c:v>0.84284029492736035</c:v>
                </c:pt>
                <c:pt idx="87">
                  <c:v>0.85309237381809866</c:v>
                </c:pt>
                <c:pt idx="88">
                  <c:v>0.86340020014746166</c:v>
                </c:pt>
                <c:pt idx="89">
                  <c:v>0.87376536376078184</c:v>
                </c:pt>
                <c:pt idx="90">
                  <c:v>0.88430151617918695</c:v>
                </c:pt>
                <c:pt idx="91">
                  <c:v>0.89483486296116155</c:v>
                </c:pt>
                <c:pt idx="92">
                  <c:v>0.9055985776688158</c:v>
                </c:pt>
                <c:pt idx="93">
                  <c:v>0.91623816972746663</c:v>
                </c:pt>
                <c:pt idx="94">
                  <c:v>0.92693716617511157</c:v>
                </c:pt>
                <c:pt idx="95">
                  <c:v>0.93769460370160096</c:v>
                </c:pt>
                <c:pt idx="96">
                  <c:v>0.94847302993469085</c:v>
                </c:pt>
                <c:pt idx="97">
                  <c:v>0.95931141116370244</c:v>
                </c:pt>
                <c:pt idx="98">
                  <c:v>0.97013634336207377</c:v>
                </c:pt>
                <c:pt idx="99">
                  <c:v>0.98105418226487218</c:v>
                </c:pt>
                <c:pt idx="100">
                  <c:v>0.99210175457967975</c:v>
                </c:pt>
                <c:pt idx="101">
                  <c:v>1.003224322709416</c:v>
                </c:pt>
                <c:pt idx="102">
                  <c:v>1.0142837903243742</c:v>
                </c:pt>
                <c:pt idx="103">
                  <c:v>1.02547741442531</c:v>
                </c:pt>
                <c:pt idx="104">
                  <c:v>1.0368271208537809</c:v>
                </c:pt>
                <c:pt idx="105">
                  <c:v>1.0482842734085835</c:v>
                </c:pt>
                <c:pt idx="106">
                  <c:v>1.0598442777766333</c:v>
                </c:pt>
                <c:pt idx="107">
                  <c:v>1.0715568734985874</c:v>
                </c:pt>
                <c:pt idx="108">
                  <c:v>1.0833388532166106</c:v>
                </c:pt>
                <c:pt idx="109">
                  <c:v>1.0951878429442803</c:v>
                </c:pt>
                <c:pt idx="110">
                  <c:v>1.1071042238010262</c:v>
                </c:pt>
                <c:pt idx="111">
                  <c:v>1.1190883790738946</c:v>
                </c:pt>
                <c:pt idx="112">
                  <c:v>1.1311406942298774</c:v>
                </c:pt>
                <c:pt idx="113">
                  <c:v>1.14326155692831</c:v>
                </c:pt>
                <c:pt idx="114">
                  <c:v>1.15545135703334</c:v>
                </c:pt>
                <c:pt idx="115">
                  <c:v>1.167832165332106</c:v>
                </c:pt>
                <c:pt idx="116">
                  <c:v>1.1802068739425438</c:v>
                </c:pt>
                <c:pt idx="117">
                  <c:v>1.1927284115397971</c:v>
                </c:pt>
                <c:pt idx="118">
                  <c:v>1.2053365999061509</c:v>
                </c:pt>
                <c:pt idx="119">
                  <c:v>1.217833507305619</c:v>
                </c:pt>
                <c:pt idx="120">
                  <c:v>1.2303207446202737</c:v>
                </c:pt>
                <c:pt idx="121">
                  <c:v>1.2429560243559603</c:v>
                </c:pt>
                <c:pt idx="122">
                  <c:v>1.2556661084939775</c:v>
                </c:pt>
                <c:pt idx="123">
                  <c:v>1.2683667618326369</c:v>
                </c:pt>
                <c:pt idx="124">
                  <c:v>1.2810683961468774</c:v>
                </c:pt>
                <c:pt idx="125">
                  <c:v>1.2934241832926729</c:v>
                </c:pt>
                <c:pt idx="126">
                  <c:v>1.3050146065845825</c:v>
                </c:pt>
                <c:pt idx="127">
                  <c:v>1.3165396796175051</c:v>
                </c:pt>
                <c:pt idx="128">
                  <c:v>1.3284441196377617</c:v>
                </c:pt>
                <c:pt idx="129">
                  <c:v>1.3401238957862671</c:v>
                </c:pt>
                <c:pt idx="130">
                  <c:v>1.3514344946159005</c:v>
                </c:pt>
                <c:pt idx="131">
                  <c:v>1.3627997613398772</c:v>
                </c:pt>
                <c:pt idx="132">
                  <c:v>1.3738499787721112</c:v>
                </c:pt>
                <c:pt idx="133">
                  <c:v>1.3848784901318232</c:v>
                </c:pt>
                <c:pt idx="134">
                  <c:v>1.3959582381172271</c:v>
                </c:pt>
                <c:pt idx="135">
                  <c:v>1.4070894607651465</c:v>
                </c:pt>
                <c:pt idx="136">
                  <c:v>1.4182723972182845</c:v>
                </c:pt>
                <c:pt idx="137">
                  <c:v>1.4295492716261462</c:v>
                </c:pt>
                <c:pt idx="138">
                  <c:v>1.4408414509020644</c:v>
                </c:pt>
                <c:pt idx="139">
                  <c:v>1.4521811934760467</c:v>
                </c:pt>
                <c:pt idx="140">
                  <c:v>1.4634850676165283</c:v>
                </c:pt>
                <c:pt idx="141">
                  <c:v>1.4748273634486795</c:v>
                </c:pt>
                <c:pt idx="142">
                  <c:v>1.4862218811012244</c:v>
                </c:pt>
                <c:pt idx="143">
                  <c:v>1.4976688610121283</c:v>
                </c:pt>
                <c:pt idx="144">
                  <c:v>1.5091685447263719</c:v>
                </c:pt>
                <c:pt idx="145">
                  <c:v>1.5207211749010496</c:v>
                </c:pt>
                <c:pt idx="146">
                  <c:v>1.532284644484299</c:v>
                </c:pt>
                <c:pt idx="147">
                  <c:v>1.5436799253844784</c:v>
                </c:pt>
                <c:pt idx="148">
                  <c:v>1.5553914517076031</c:v>
                </c:pt>
                <c:pt idx="149">
                  <c:v>1.5672119117491481</c:v>
                </c:pt>
                <c:pt idx="150">
                  <c:v>1.579140475699305</c:v>
                </c:pt>
                <c:pt idx="151">
                  <c:v>1.5911764645859017</c:v>
                </c:pt>
                <c:pt idx="152">
                  <c:v>1.6032686214206358</c:v>
                </c:pt>
                <c:pt idx="153">
                  <c:v>1.6171667168027364</c:v>
                </c:pt>
                <c:pt idx="154">
                  <c:v>1.6333059115563531</c:v>
                </c:pt>
                <c:pt idx="155">
                  <c:v>1.6495446313442841</c:v>
                </c:pt>
                <c:pt idx="156">
                  <c:v>1.6658834899042403</c:v>
                </c:pt>
                <c:pt idx="157">
                  <c:v>1.6823231047586495</c:v>
                </c:pt>
                <c:pt idx="158">
                  <c:v>1.6985252015769094</c:v>
                </c:pt>
                <c:pt idx="159">
                  <c:v>1.7147163527863709</c:v>
                </c:pt>
                <c:pt idx="160">
                  <c:v>1.7309170794078379</c:v>
                </c:pt>
                <c:pt idx="161">
                  <c:v>1.7461210809534022</c:v>
                </c:pt>
                <c:pt idx="162">
                  <c:v>1.7605382166284076</c:v>
                </c:pt>
                <c:pt idx="163">
                  <c:v>1.7748455222242669</c:v>
                </c:pt>
                <c:pt idx="164">
                  <c:v>1.7879740101012906</c:v>
                </c:pt>
                <c:pt idx="165">
                  <c:v>1.8004486948857359</c:v>
                </c:pt>
                <c:pt idx="166">
                  <c:v>1.8126617628050985</c:v>
                </c:pt>
                <c:pt idx="167">
                  <c:v>1.8245702097847167</c:v>
                </c:pt>
                <c:pt idx="168">
                  <c:v>1.8361722078507139</c:v>
                </c:pt>
                <c:pt idx="169">
                  <c:v>1.8474618847211888</c:v>
                </c:pt>
                <c:pt idx="170">
                  <c:v>1.8587158654631546</c:v>
                </c:pt>
                <c:pt idx="171">
                  <c:v>1.869852946022355</c:v>
                </c:pt>
                <c:pt idx="172">
                  <c:v>1.8810334147912342</c:v>
                </c:pt>
                <c:pt idx="173">
                  <c:v>1.8922574408030255</c:v>
                </c:pt>
                <c:pt idx="174">
                  <c:v>1.9035251937494877</c:v>
                </c:pt>
                <c:pt idx="175">
                  <c:v>1.9148368439834704</c:v>
                </c:pt>
                <c:pt idx="176">
                  <c:v>1.9261925625214897</c:v>
                </c:pt>
                <c:pt idx="177">
                  <c:v>1.9375925210463132</c:v>
                </c:pt>
                <c:pt idx="178">
                  <c:v>1.9490368919095564</c:v>
                </c:pt>
                <c:pt idx="179">
                  <c:v>1.9605258481342878</c:v>
                </c:pt>
                <c:pt idx="180">
                  <c:v>1.9720595634176448</c:v>
                </c:pt>
                <c:pt idx="181">
                  <c:v>1.9836382121334597</c:v>
                </c:pt>
                <c:pt idx="182">
                  <c:v>1.9952619693348965</c:v>
                </c:pt>
                <c:pt idx="183">
                  <c:v>2.0069310107570972</c:v>
                </c:pt>
                <c:pt idx="184">
                  <c:v>2.0186455128198388</c:v>
                </c:pt>
                <c:pt idx="185">
                  <c:v>2.0304056526301997</c:v>
                </c:pt>
                <c:pt idx="186">
                  <c:v>2.0422116079852386</c:v>
                </c:pt>
                <c:pt idx="187">
                  <c:v>2.0540635573746813</c:v>
                </c:pt>
                <c:pt idx="188">
                  <c:v>2.0659616799836202</c:v>
                </c:pt>
                <c:pt idx="189">
                  <c:v>2.0779061556952234</c:v>
                </c:pt>
                <c:pt idx="190">
                  <c:v>2.0898971650934528</c:v>
                </c:pt>
                <c:pt idx="191">
                  <c:v>2.1022671364727952</c:v>
                </c:pt>
                <c:pt idx="192">
                  <c:v>2.1149993578454018</c:v>
                </c:pt>
                <c:pt idx="193">
                  <c:v>2.1277838343765589</c:v>
                </c:pt>
                <c:pt idx="194">
                  <c:v>2.1408856331935411</c:v>
                </c:pt>
                <c:pt idx="195">
                  <c:v>2.1546924429561209</c:v>
                </c:pt>
                <c:pt idx="196">
                  <c:v>2.1700970096836207</c:v>
                </c:pt>
                <c:pt idx="197">
                  <c:v>2.1856833199812318</c:v>
                </c:pt>
                <c:pt idx="198">
                  <c:v>2.2013462629711396</c:v>
                </c:pt>
                <c:pt idx="199">
                  <c:v>2.2170862154307476</c:v>
                </c:pt>
                <c:pt idx="200">
                  <c:v>2.2329035559899486</c:v>
                </c:pt>
                <c:pt idx="201">
                  <c:v>2.2487986651402325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3C-4A59-B532-DBB90246708A}"/>
            </c:ext>
          </c:extLst>
        </c:ser>
        <c:ser>
          <c:idx val="5"/>
          <c:order val="5"/>
          <c:tx>
            <c:strRef>
              <c:f>'1_Kenh_dau_tu'!$G$1</c:f>
              <c:strCache>
                <c:ptCount val="1"/>
                <c:pt idx="0">
                  <c:v>M2 (tỷ VND)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'1_Kenh_dau_tu'!$A$2:$A$203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'1_Kenh_dau_tu'!$G$2:$G$203</c:f>
              <c:numCache>
                <c:formatCode>0.0%</c:formatCode>
                <c:ptCount val="202"/>
                <c:pt idx="0">
                  <c:v>0</c:v>
                </c:pt>
                <c:pt idx="1">
                  <c:v>9.8607805392063597E-3</c:v>
                </c:pt>
                <c:pt idx="2">
                  <c:v>1.089042233251547E-2</c:v>
                </c:pt>
                <c:pt idx="3">
                  <c:v>4.0408699627504374E-2</c:v>
                </c:pt>
                <c:pt idx="4">
                  <c:v>6.579457185556925E-2</c:v>
                </c:pt>
                <c:pt idx="5">
                  <c:v>9.0308144266704415E-2</c:v>
                </c:pt>
                <c:pt idx="6">
                  <c:v>0.12509968408601235</c:v>
                </c:pt>
                <c:pt idx="7">
                  <c:v>0.15846592085544842</c:v>
                </c:pt>
                <c:pt idx="8">
                  <c:v>0.1852591581230485</c:v>
                </c:pt>
                <c:pt idx="9">
                  <c:v>0.21015916652828781</c:v>
                </c:pt>
                <c:pt idx="10">
                  <c:v>0.23007958326414379</c:v>
                </c:pt>
                <c:pt idx="11">
                  <c:v>0.25</c:v>
                </c:pt>
                <c:pt idx="12">
                  <c:v>0.26129325879321263</c:v>
                </c:pt>
                <c:pt idx="13">
                  <c:v>0.28437486546492252</c:v>
                </c:pt>
                <c:pt idx="14">
                  <c:v>0.3054387022310785</c:v>
                </c:pt>
                <c:pt idx="15">
                  <c:v>0.27474984163299454</c:v>
                </c:pt>
                <c:pt idx="16">
                  <c:v>0.27599986469615057</c:v>
                </c:pt>
                <c:pt idx="17">
                  <c:v>0.27599986469615057</c:v>
                </c:pt>
                <c:pt idx="18">
                  <c:v>0.29462515708571901</c:v>
                </c:pt>
                <c:pt idx="19">
                  <c:v>0.34787490954117639</c:v>
                </c:pt>
                <c:pt idx="20">
                  <c:v>0.36087484188925179</c:v>
                </c:pt>
                <c:pt idx="21">
                  <c:v>0.34375019219296798</c:v>
                </c:pt>
                <c:pt idx="22">
                  <c:v>0.34375019219296798</c:v>
                </c:pt>
                <c:pt idx="23">
                  <c:v>0.36587493414187633</c:v>
                </c:pt>
                <c:pt idx="24">
                  <c:v>0.37598274670914389</c:v>
                </c:pt>
                <c:pt idx="25">
                  <c:v>0.36737762689348519</c:v>
                </c:pt>
                <c:pt idx="26">
                  <c:v>0.62280156870462955</c:v>
                </c:pt>
                <c:pt idx="27">
                  <c:v>0.63228001336638018</c:v>
                </c:pt>
                <c:pt idx="28">
                  <c:v>0.66423068486298442</c:v>
                </c:pt>
                <c:pt idx="29">
                  <c:v>0.69470377682245066</c:v>
                </c:pt>
                <c:pt idx="30">
                  <c:v>0.71119598352573132</c:v>
                </c:pt>
                <c:pt idx="31">
                  <c:v>0.7280202996775258</c:v>
                </c:pt>
                <c:pt idx="32">
                  <c:v>0.74709916747131455</c:v>
                </c:pt>
                <c:pt idx="33">
                  <c:v>0.76401112361646684</c:v>
                </c:pt>
                <c:pt idx="34">
                  <c:v>0.80373151616163474</c:v>
                </c:pt>
                <c:pt idx="35">
                  <c:v>0.89777332915121444</c:v>
                </c:pt>
                <c:pt idx="36">
                  <c:v>0.93027956645366561</c:v>
                </c:pt>
                <c:pt idx="37">
                  <c:v>0.94065849923430322</c:v>
                </c:pt>
                <c:pt idx="38">
                  <c:v>0.9692967889936468</c:v>
                </c:pt>
                <c:pt idx="39">
                  <c:v>0.98151154900356907</c:v>
                </c:pt>
                <c:pt idx="40">
                  <c:v>0.99837532877810364</c:v>
                </c:pt>
                <c:pt idx="41">
                  <c:v>1.036450549518134</c:v>
                </c:pt>
                <c:pt idx="42">
                  <c:v>1.0403805113255471</c:v>
                </c:pt>
                <c:pt idx="43">
                  <c:v>1.0704307787556555</c:v>
                </c:pt>
                <c:pt idx="44">
                  <c:v>1.0938762707799037</c:v>
                </c:pt>
                <c:pt idx="45">
                  <c:v>1.1204086381257548</c:v>
                </c:pt>
                <c:pt idx="46">
                  <c:v>1.1616322359371125</c:v>
                </c:pt>
                <c:pt idx="47">
                  <c:v>1.2554188166653342</c:v>
                </c:pt>
                <c:pt idx="48">
                  <c:v>1.3033327798175858</c:v>
                </c:pt>
                <c:pt idx="49">
                  <c:v>1.2938148715330953</c:v>
                </c:pt>
                <c:pt idx="50">
                  <c:v>1.3190695400284138</c:v>
                </c:pt>
                <c:pt idx="51">
                  <c:v>1.3396546881758784</c:v>
                </c:pt>
                <c:pt idx="52">
                  <c:v>1.3618850081284815</c:v>
                </c:pt>
                <c:pt idx="53">
                  <c:v>1.4130718893952534</c:v>
                </c:pt>
                <c:pt idx="54">
                  <c:v>1.4098046089411245</c:v>
                </c:pt>
                <c:pt idx="55">
                  <c:v>1.4481181489613379</c:v>
                </c:pt>
                <c:pt idx="56">
                  <c:v>1.4841668870479365</c:v>
                </c:pt>
                <c:pt idx="57">
                  <c:v>1.5051082328292238</c:v>
                </c:pt>
                <c:pt idx="58">
                  <c:v>1.5490317574534997</c:v>
                </c:pt>
                <c:pt idx="59">
                  <c:v>1.6544237183547872</c:v>
                </c:pt>
                <c:pt idx="60">
                  <c:v>1.6610751325875222</c:v>
                </c:pt>
                <c:pt idx="61">
                  <c:v>1.7204335463343932</c:v>
                </c:pt>
                <c:pt idx="62">
                  <c:v>1.7167460039238116</c:v>
                </c:pt>
                <c:pt idx="63">
                  <c:v>1.7307965911630188</c:v>
                </c:pt>
                <c:pt idx="64">
                  <c:v>1.7555013315128813</c:v>
                </c:pt>
                <c:pt idx="65">
                  <c:v>1.8151047272294898</c:v>
                </c:pt>
                <c:pt idx="66">
                  <c:v>1.8217207779561329</c:v>
                </c:pt>
                <c:pt idx="67">
                  <c:v>1.8657821690027081</c:v>
                </c:pt>
                <c:pt idx="68">
                  <c:v>1.9191646627346546</c:v>
                </c:pt>
                <c:pt idx="69">
                  <c:v>1.9331019842514521</c:v>
                </c:pt>
                <c:pt idx="70">
                  <c:v>1.9774237327051956</c:v>
                </c:pt>
                <c:pt idx="71">
                  <c:v>2.0851373846585934</c:v>
                </c:pt>
                <c:pt idx="72">
                  <c:v>2.1304093351455848</c:v>
                </c:pt>
                <c:pt idx="73">
                  <c:v>2.1461271323169142</c:v>
                </c:pt>
                <c:pt idx="74">
                  <c:v>2.2124198683452545</c:v>
                </c:pt>
                <c:pt idx="75">
                  <c:v>2.2423384195280356</c:v>
                </c:pt>
                <c:pt idx="76">
                  <c:v>2.294134680631664</c:v>
                </c:pt>
                <c:pt idx="77">
                  <c:v>2.3786980489594929</c:v>
                </c:pt>
                <c:pt idx="78">
                  <c:v>2.3874374475953841</c:v>
                </c:pt>
                <c:pt idx="79">
                  <c:v>2.4247305710847473</c:v>
                </c:pt>
                <c:pt idx="80">
                  <c:v>2.5004197494418716</c:v>
                </c:pt>
                <c:pt idx="81">
                  <c:v>2.5176207638107306</c:v>
                </c:pt>
                <c:pt idx="82">
                  <c:v>2.5727704078181026</c:v>
                </c:pt>
                <c:pt idx="83">
                  <c:v>2.6520769140882057</c:v>
                </c:pt>
                <c:pt idx="84">
                  <c:v>2.7458388941165377</c:v>
                </c:pt>
                <c:pt idx="85">
                  <c:v>2.7169489596979033</c:v>
                </c:pt>
                <c:pt idx="86">
                  <c:v>2.7794398625640899</c:v>
                </c:pt>
                <c:pt idx="87">
                  <c:v>2.7942048951292664</c:v>
                </c:pt>
                <c:pt idx="88">
                  <c:v>2.8268233731249652</c:v>
                </c:pt>
                <c:pt idx="89">
                  <c:v>2.9037497616807197</c:v>
                </c:pt>
                <c:pt idx="90">
                  <c:v>2.9303974448073049</c:v>
                </c:pt>
                <c:pt idx="91">
                  <c:v>2.9783288334553117</c:v>
                </c:pt>
                <c:pt idx="92">
                  <c:v>3.0374632783302689</c:v>
                </c:pt>
                <c:pt idx="93">
                  <c:v>3.0496144865321417</c:v>
                </c:pt>
                <c:pt idx="94">
                  <c:v>3.1321877607417932</c:v>
                </c:pt>
                <c:pt idx="95">
                  <c:v>3.1988003058687022</c:v>
                </c:pt>
                <c:pt idx="96">
                  <c:v>3.2520644087324282</c:v>
                </c:pt>
                <c:pt idx="97">
                  <c:v>3.3059086781018916</c:v>
                </c:pt>
                <c:pt idx="98">
                  <c:v>3.3671869714693381</c:v>
                </c:pt>
                <c:pt idx="99">
                  <c:v>3.4390194776041376</c:v>
                </c:pt>
                <c:pt idx="100">
                  <c:v>3.4883915447394482</c:v>
                </c:pt>
                <c:pt idx="101">
                  <c:v>3.5509152485388213</c:v>
                </c:pt>
                <c:pt idx="102">
                  <c:v>3.5319368336029164</c:v>
                </c:pt>
                <c:pt idx="103">
                  <c:v>3.5554264018811335</c:v>
                </c:pt>
                <c:pt idx="104">
                  <c:v>3.578515696271559</c:v>
                </c:pt>
                <c:pt idx="105">
                  <c:v>3.6121356277586099</c:v>
                </c:pt>
                <c:pt idx="106">
                  <c:v>3.6442477413482415</c:v>
                </c:pt>
                <c:pt idx="107">
                  <c:v>3.6749442896650413</c:v>
                </c:pt>
                <c:pt idx="108">
                  <c:v>3.8627824211598822</c:v>
                </c:pt>
                <c:pt idx="109">
                  <c:v>3.8056601085300876</c:v>
                </c:pt>
                <c:pt idx="110">
                  <c:v>3.8576936638847377</c:v>
                </c:pt>
                <c:pt idx="111">
                  <c:v>3.8927757994714947</c:v>
                </c:pt>
                <c:pt idx="112">
                  <c:v>3.9749216365205591</c:v>
                </c:pt>
                <c:pt idx="113">
                  <c:v>4.0567169135961922</c:v>
                </c:pt>
                <c:pt idx="114">
                  <c:v>4.0534352827337941</c:v>
                </c:pt>
                <c:pt idx="115">
                  <c:v>4.0990767562337149</c:v>
                </c:pt>
                <c:pt idx="116">
                  <c:v>4.1680612188416761</c:v>
                </c:pt>
                <c:pt idx="117">
                  <c:v>4.1961957067678579</c:v>
                </c:pt>
                <c:pt idx="118">
                  <c:v>4.2660668196010176</c:v>
                </c:pt>
                <c:pt idx="119">
                  <c:v>4.4191882384053827</c:v>
                </c:pt>
                <c:pt idx="120">
                  <c:v>4.5136441631764423</c:v>
                </c:pt>
                <c:pt idx="121">
                  <c:v>4.4700066216883867</c:v>
                </c:pt>
                <c:pt idx="122">
                  <c:v>4.5123874774237329</c:v>
                </c:pt>
                <c:pt idx="123">
                  <c:v>4.5248308189367989</c:v>
                </c:pt>
                <c:pt idx="124">
                  <c:v>4.6010079111750732</c:v>
                </c:pt>
                <c:pt idx="125">
                  <c:v>4.6983539056686165</c:v>
                </c:pt>
                <c:pt idx="126">
                  <c:v>4.7213852859113841</c:v>
                </c:pt>
                <c:pt idx="127">
                  <c:v>4.7996119239592367</c:v>
                </c:pt>
                <c:pt idx="128">
                  <c:v>4.8866630380634328</c:v>
                </c:pt>
                <c:pt idx="129">
                  <c:v>4.9228465674848447</c:v>
                </c:pt>
                <c:pt idx="130">
                  <c:v>5.0118677876385584</c:v>
                </c:pt>
                <c:pt idx="131">
                  <c:v>5.2068621602284582</c:v>
                </c:pt>
                <c:pt idx="132">
                  <c:v>5.2538141335120985</c:v>
                </c:pt>
                <c:pt idx="133">
                  <c:v>5.2671364375316481</c:v>
                </c:pt>
                <c:pt idx="134">
                  <c:v>5.329426947196648</c:v>
                </c:pt>
                <c:pt idx="135">
                  <c:v>5.3885004028364607</c:v>
                </c:pt>
                <c:pt idx="136">
                  <c:v>5.4364517795531286</c:v>
                </c:pt>
                <c:pt idx="137">
                  <c:v>5.4821322041612079</c:v>
                </c:pt>
                <c:pt idx="138">
                  <c:v>5.5049662662902756</c:v>
                </c:pt>
                <c:pt idx="139">
                  <c:v>5.5384806197736323</c:v>
                </c:pt>
                <c:pt idx="140">
                  <c:v>5.6007214155242719</c:v>
                </c:pt>
                <c:pt idx="141">
                  <c:v>5.6153162932485428</c:v>
                </c:pt>
                <c:pt idx="142">
                  <c:v>5.6836216740366261</c:v>
                </c:pt>
                <c:pt idx="143">
                  <c:v>5.8687701290101701</c:v>
                </c:pt>
                <c:pt idx="144">
                  <c:v>6.04642972092556</c:v>
                </c:pt>
                <c:pt idx="145">
                  <c:v>5.9931333296432285</c:v>
                </c:pt>
                <c:pt idx="146">
                  <c:v>6.105533414925655</c:v>
                </c:pt>
                <c:pt idx="147">
                  <c:v>6.1094746520538505</c:v>
                </c:pt>
                <c:pt idx="148">
                  <c:v>6.0974372220889688</c:v>
                </c:pt>
                <c:pt idx="149">
                  <c:v>6.1282260230303551</c:v>
                </c:pt>
                <c:pt idx="150">
                  <c:v>6.0870741772603427</c:v>
                </c:pt>
                <c:pt idx="151">
                  <c:v>6.0527228874661487</c:v>
                </c:pt>
                <c:pt idx="152">
                  <c:v>6.0893051532316091</c:v>
                </c:pt>
                <c:pt idx="153">
                  <c:v>6.0804632516795101</c:v>
                </c:pt>
                <c:pt idx="154">
                  <c:v>6.1129351505050318</c:v>
                </c:pt>
                <c:pt idx="155">
                  <c:v>6.2914383414208137</c:v>
                </c:pt>
                <c:pt idx="156">
                  <c:v>6.3492038598498128</c:v>
                </c:pt>
                <c:pt idx="157">
                  <c:v>6.3147024032833734</c:v>
                </c:pt>
                <c:pt idx="158">
                  <c:v>6.3879084484953594</c:v>
                </c:pt>
                <c:pt idx="159">
                  <c:v>6.4163899087929055</c:v>
                </c:pt>
                <c:pt idx="160">
                  <c:v>6.4406005850866457</c:v>
                </c:pt>
                <c:pt idx="161">
                  <c:v>6.5617533943840698</c:v>
                </c:pt>
                <c:pt idx="162">
                  <c:v>6.5036967676730404</c:v>
                </c:pt>
                <c:pt idx="163">
                  <c:v>6.5858072412160125</c:v>
                </c:pt>
                <c:pt idx="164">
                  <c:v>6.7010502448794664</c:v>
                </c:pt>
                <c:pt idx="165">
                  <c:v>6.72577958592922</c:v>
                </c:pt>
                <c:pt idx="166">
                  <c:v>6.8692098665207029</c:v>
                </c:pt>
                <c:pt idx="167">
                  <c:v>7.1996982314146845</c:v>
                </c:pt>
                <c:pt idx="168">
                  <c:v>7.1998709488284938</c:v>
                </c:pt>
                <c:pt idx="169">
                  <c:v>7.1561913811447937</c:v>
                </c:pt>
                <c:pt idx="170">
                  <c:v>7.2068524224514192</c:v>
                </c:pt>
                <c:pt idx="171">
                  <c:v>7.210157628984545</c:v>
                </c:pt>
                <c:pt idx="172">
                  <c:v>7.2668894055035871</c:v>
                </c:pt>
                <c:pt idx="173">
                  <c:v>7.463207603256313</c:v>
                </c:pt>
                <c:pt idx="174">
                  <c:v>7.4059551119229337</c:v>
                </c:pt>
                <c:pt idx="175">
                  <c:v>7.5376180577337433</c:v>
                </c:pt>
                <c:pt idx="176">
                  <c:v>7.6866465350939226</c:v>
                </c:pt>
                <c:pt idx="177">
                  <c:v>7.767750942514315</c:v>
                </c:pt>
                <c:pt idx="178">
                  <c:v>7.8674468163619249</c:v>
                </c:pt>
                <c:pt idx="179">
                  <c:v>8.1814762880003933</c:v>
                </c:pt>
                <c:pt idx="180">
                  <c:v>8.3159396134820032</c:v>
                </c:pt>
                <c:pt idx="181">
                  <c:v>8.3058251382251829</c:v>
                </c:pt>
                <c:pt idx="182">
                  <c:v>8.4559155457972786</c:v>
                </c:pt>
                <c:pt idx="183">
                  <c:v>8.5950781174724415</c:v>
                </c:pt>
                <c:pt idx="184">
                  <c:v>8.724012435653794</c:v>
                </c:pt>
                <c:pt idx="185">
                  <c:v>9.0373079864122126</c:v>
                </c:pt>
                <c:pt idx="186">
                  <c:v>8.9851985788995705</c:v>
                </c:pt>
                <c:pt idx="187">
                  <c:v>9.0891078351179093</c:v>
                </c:pt>
                <c:pt idx="188">
                  <c:v>9.2404088021304212</c:v>
                </c:pt>
                <c:pt idx="189">
                  <c:v>8.5984161249387547</c:v>
                </c:pt>
                <c:pt idx="190">
                  <c:v>8.7061343895233811</c:v>
                </c:pt>
                <c:pt idx="191">
                  <c:v>8.9655774706790403</c:v>
                </c:pt>
                <c:pt idx="192">
                  <c:v>9.0343666652316266</c:v>
                </c:pt>
                <c:pt idx="193">
                  <c:v>9.0663337371948227</c:v>
                </c:pt>
                <c:pt idx="194">
                  <c:v>9.0632719750876909</c:v>
                </c:pt>
                <c:pt idx="195">
                  <c:v>9.1572876498336377</c:v>
                </c:pt>
                <c:pt idx="196">
                  <c:v>9.2374710685518995</c:v>
                </c:pt>
                <c:pt idx="197">
                  <c:v>9.462788366329022</c:v>
                </c:pt>
                <c:pt idx="198">
                  <c:v>9.4838158145599234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3C-4A59-B532-DBB90246708A}"/>
            </c:ext>
          </c:extLst>
        </c:ser>
        <c:ser>
          <c:idx val="6"/>
          <c:order val="6"/>
          <c:tx>
            <c:strRef>
              <c:f>'1_Kenh_dau_tu'!$H$1</c:f>
              <c:strCache>
                <c:ptCount val="1"/>
                <c:pt idx="0">
                  <c:v>Dư nợ tín dụng (tỷ VND)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'1_Kenh_dau_tu'!$A$2:$A$203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'1_Kenh_dau_tu'!$H$2:$H$203</c:f>
              <c:numCache>
                <c:formatCode>0.0%</c:formatCode>
                <c:ptCount val="202"/>
                <c:pt idx="0">
                  <c:v>0</c:v>
                </c:pt>
                <c:pt idx="1">
                  <c:v>1.1370307207728692E-2</c:v>
                </c:pt>
                <c:pt idx="2">
                  <c:v>3.0720257015781849E-2</c:v>
                </c:pt>
                <c:pt idx="3">
                  <c:v>5.3062121432528642E-2</c:v>
                </c:pt>
                <c:pt idx="4">
                  <c:v>7.2648845172545773E-2</c:v>
                </c:pt>
                <c:pt idx="5">
                  <c:v>0.10213416364122208</c:v>
                </c:pt>
                <c:pt idx="6">
                  <c:v>0.1267705170544291</c:v>
                </c:pt>
                <c:pt idx="7">
                  <c:v>0.15968467283413745</c:v>
                </c:pt>
                <c:pt idx="8">
                  <c:v>0.19190088715426623</c:v>
                </c:pt>
                <c:pt idx="9">
                  <c:v>0.22499971628395943</c:v>
                </c:pt>
                <c:pt idx="10">
                  <c:v>0.24177146105507297</c:v>
                </c:pt>
                <c:pt idx="11">
                  <c:v>0.29553152394718141</c:v>
                </c:pt>
                <c:pt idx="12">
                  <c:v>0.31149287253721591</c:v>
                </c:pt>
                <c:pt idx="13">
                  <c:v>0.33064061018550905</c:v>
                </c:pt>
                <c:pt idx="14">
                  <c:v>0.36030802276743845</c:v>
                </c:pt>
                <c:pt idx="15">
                  <c:v>0.36082644935049668</c:v>
                </c:pt>
                <c:pt idx="16">
                  <c:v>0.38518218180730224</c:v>
                </c:pt>
                <c:pt idx="17">
                  <c:v>0.38518218180730224</c:v>
                </c:pt>
                <c:pt idx="18">
                  <c:v>0.39360338973608222</c:v>
                </c:pt>
                <c:pt idx="19">
                  <c:v>0.40111722218267398</c:v>
                </c:pt>
                <c:pt idx="20">
                  <c:v>0.40124669986660177</c:v>
                </c:pt>
                <c:pt idx="21">
                  <c:v>0.40707680657478384</c:v>
                </c:pt>
                <c:pt idx="22">
                  <c:v>0.40707680657478384</c:v>
                </c:pt>
                <c:pt idx="23">
                  <c:v>0.43674473500405964</c:v>
                </c:pt>
                <c:pt idx="24">
                  <c:v>0.44809492416528163</c:v>
                </c:pt>
                <c:pt idx="25">
                  <c:v>0.4728065912910524</c:v>
                </c:pt>
                <c:pt idx="26">
                  <c:v>0.45125036238276084</c:v>
                </c:pt>
                <c:pt idx="27">
                  <c:v>0.46186908000689164</c:v>
                </c:pt>
                <c:pt idx="28">
                  <c:v>0.4729732099839159</c:v>
                </c:pt>
                <c:pt idx="29">
                  <c:v>0.48961083444498432</c:v>
                </c:pt>
                <c:pt idx="30">
                  <c:v>0.48567182410843523</c:v>
                </c:pt>
                <c:pt idx="31">
                  <c:v>0.4980047024644092</c:v>
                </c:pt>
                <c:pt idx="32">
                  <c:v>0.50405352844743367</c:v>
                </c:pt>
                <c:pt idx="33">
                  <c:v>0.5165819129476652</c:v>
                </c:pt>
                <c:pt idx="34">
                  <c:v>0.53945045750501142</c:v>
                </c:pt>
                <c:pt idx="35">
                  <c:v>0.59443462614995268</c:v>
                </c:pt>
                <c:pt idx="36">
                  <c:v>0.58850496090392967</c:v>
                </c:pt>
                <c:pt idx="37">
                  <c:v>0.59359327912809423</c:v>
                </c:pt>
                <c:pt idx="38">
                  <c:v>0.61312944982817119</c:v>
                </c:pt>
                <c:pt idx="39">
                  <c:v>0.62976965352597136</c:v>
                </c:pt>
                <c:pt idx="40">
                  <c:v>0.64433460334949988</c:v>
                </c:pt>
                <c:pt idx="41">
                  <c:v>0.66968746872675466</c:v>
                </c:pt>
                <c:pt idx="42">
                  <c:v>0.6798790647481272</c:v>
                </c:pt>
                <c:pt idx="43">
                  <c:v>0.69713725356682654</c:v>
                </c:pt>
                <c:pt idx="44">
                  <c:v>0.7039737784476916</c:v>
                </c:pt>
                <c:pt idx="45">
                  <c:v>0.71042909213962124</c:v>
                </c:pt>
                <c:pt idx="46">
                  <c:v>0.72530922469175541</c:v>
                </c:pt>
                <c:pt idx="47">
                  <c:v>0.79410933281335927</c:v>
                </c:pt>
                <c:pt idx="48">
                  <c:v>0.78508148840529923</c:v>
                </c:pt>
                <c:pt idx="49">
                  <c:v>0.77334544542902517</c:v>
                </c:pt>
                <c:pt idx="50">
                  <c:v>0.80349414358507709</c:v>
                </c:pt>
                <c:pt idx="51">
                  <c:v>0.81977892846125822</c:v>
                </c:pt>
                <c:pt idx="52">
                  <c:v>0.82142860827481035</c:v>
                </c:pt>
                <c:pt idx="53">
                  <c:v>0.86084398816027163</c:v>
                </c:pt>
                <c:pt idx="54">
                  <c:v>0.89499720926585646</c:v>
                </c:pt>
                <c:pt idx="55">
                  <c:v>0.89499720926585646</c:v>
                </c:pt>
                <c:pt idx="56">
                  <c:v>0.92626735955282236</c:v>
                </c:pt>
                <c:pt idx="57">
                  <c:v>0.952363045108787</c:v>
                </c:pt>
                <c:pt idx="58">
                  <c:v>0.9877336659517022</c:v>
                </c:pt>
                <c:pt idx="59">
                  <c:v>1.0481966492619774</c:v>
                </c:pt>
                <c:pt idx="60">
                  <c:v>1.0489002650423664</c:v>
                </c:pt>
                <c:pt idx="61">
                  <c:v>1.0614657905515337</c:v>
                </c:pt>
                <c:pt idx="62">
                  <c:v>1.1023936348564241</c:v>
                </c:pt>
                <c:pt idx="63">
                  <c:v>1.129815048092448</c:v>
                </c:pt>
                <c:pt idx="64">
                  <c:v>1.155133867544845</c:v>
                </c:pt>
                <c:pt idx="65">
                  <c:v>1.2091699087672385</c:v>
                </c:pt>
                <c:pt idx="66">
                  <c:v>1.2245896176436299</c:v>
                </c:pt>
                <c:pt idx="67">
                  <c:v>1.2573613995557524</c:v>
                </c:pt>
                <c:pt idx="68">
                  <c:v>1.2964971901795046</c:v>
                </c:pt>
                <c:pt idx="69">
                  <c:v>1.3224628822041953</c:v>
                </c:pt>
                <c:pt idx="70">
                  <c:v>1.3658977446122322</c:v>
                </c:pt>
                <c:pt idx="71">
                  <c:v>1.4017285012880709</c:v>
                </c:pt>
                <c:pt idx="72">
                  <c:v>1.42003282852512</c:v>
                </c:pt>
                <c:pt idx="73">
                  <c:v>1.4173390736826033</c:v>
                </c:pt>
                <c:pt idx="74">
                  <c:v>1.4746239214921606</c:v>
                </c:pt>
                <c:pt idx="75">
                  <c:v>1.4993108279453078</c:v>
                </c:pt>
                <c:pt idx="76">
                  <c:v>1.5334851987920919</c:v>
                </c:pt>
                <c:pt idx="77">
                  <c:v>1.5988059165627235</c:v>
                </c:pt>
                <c:pt idx="78">
                  <c:v>1.6333351903837801</c:v>
                </c:pt>
                <c:pt idx="79">
                  <c:v>1.6333351903837801</c:v>
                </c:pt>
                <c:pt idx="80">
                  <c:v>1.6813879182361324</c:v>
                </c:pt>
                <c:pt idx="81">
                  <c:v>1.7057183741729678</c:v>
                </c:pt>
                <c:pt idx="82">
                  <c:v>1.7601959807238163</c:v>
                </c:pt>
                <c:pt idx="83">
                  <c:v>1.8399490755499706</c:v>
                </c:pt>
                <c:pt idx="84">
                  <c:v>1.8910659366395022</c:v>
                </c:pt>
                <c:pt idx="85">
                  <c:v>1.8901781633564743</c:v>
                </c:pt>
                <c:pt idx="86">
                  <c:v>1.9641558312931573</c:v>
                </c:pt>
                <c:pt idx="87">
                  <c:v>2.0007748027141825</c:v>
                </c:pt>
                <c:pt idx="88">
                  <c:v>2.0392018190840822</c:v>
                </c:pt>
                <c:pt idx="89">
                  <c:v>2.0957974948389473</c:v>
                </c:pt>
                <c:pt idx="90">
                  <c:v>2.1119419692369275</c:v>
                </c:pt>
                <c:pt idx="91">
                  <c:v>2.1466280606512678</c:v>
                </c:pt>
                <c:pt idx="92">
                  <c:v>2.1867455087750791</c:v>
                </c:pt>
                <c:pt idx="93">
                  <c:v>2.2295979795291139</c:v>
                </c:pt>
                <c:pt idx="94">
                  <c:v>2.2862101623990614</c:v>
                </c:pt>
                <c:pt idx="95">
                  <c:v>2.2651666857530186</c:v>
                </c:pt>
                <c:pt idx="96">
                  <c:v>2.2965565126243321</c:v>
                </c:pt>
                <c:pt idx="97">
                  <c:v>2.3098813654272918</c:v>
                </c:pt>
                <c:pt idx="98">
                  <c:v>2.3815227607324618</c:v>
                </c:pt>
                <c:pt idx="99">
                  <c:v>2.432529746337226</c:v>
                </c:pt>
                <c:pt idx="100">
                  <c:v>2.4681696394949237</c:v>
                </c:pt>
                <c:pt idx="101">
                  <c:v>2.5217622222291003</c:v>
                </c:pt>
                <c:pt idx="102">
                  <c:v>2.529562695570625</c:v>
                </c:pt>
                <c:pt idx="103">
                  <c:v>2.5594364470910853</c:v>
                </c:pt>
                <c:pt idx="104">
                  <c:v>2.6035310782550742</c:v>
                </c:pt>
                <c:pt idx="105">
                  <c:v>2.6308415843116379</c:v>
                </c:pt>
                <c:pt idx="106">
                  <c:v>2.6681961540485246</c:v>
                </c:pt>
                <c:pt idx="107">
                  <c:v>2.8047193377758108</c:v>
                </c:pt>
                <c:pt idx="108">
                  <c:v>2.790720215747994</c:v>
                </c:pt>
                <c:pt idx="109">
                  <c:v>2.7595057769744313</c:v>
                </c:pt>
                <c:pt idx="110">
                  <c:v>2.8364010775019368</c:v>
                </c:pt>
                <c:pt idx="111">
                  <c:v>2.8858656795411846</c:v>
                </c:pt>
                <c:pt idx="112">
                  <c:v>2.9348914192920716</c:v>
                </c:pt>
                <c:pt idx="113">
                  <c:v>2.9937329705894795</c:v>
                </c:pt>
                <c:pt idx="114">
                  <c:v>2.9982156840290566</c:v>
                </c:pt>
                <c:pt idx="115">
                  <c:v>3.0234710542578558</c:v>
                </c:pt>
                <c:pt idx="116">
                  <c:v>3.0694732889085596</c:v>
                </c:pt>
                <c:pt idx="117">
                  <c:v>3.0930676306821878</c:v>
                </c:pt>
                <c:pt idx="118">
                  <c:v>3.128874658380095</c:v>
                </c:pt>
                <c:pt idx="119">
                  <c:v>3.2275717311527439</c:v>
                </c:pt>
                <c:pt idx="120">
                  <c:v>3.2317036941891857</c:v>
                </c:pt>
                <c:pt idx="121">
                  <c:v>3.2347765710388856</c:v>
                </c:pt>
                <c:pt idx="122">
                  <c:v>3.2827771983092591</c:v>
                </c:pt>
                <c:pt idx="123">
                  <c:v>3.2873635970654478</c:v>
                </c:pt>
                <c:pt idx="124">
                  <c:v>3.3119911810737674</c:v>
                </c:pt>
                <c:pt idx="125">
                  <c:v>3.3818673467598082</c:v>
                </c:pt>
                <c:pt idx="126">
                  <c:v>3.398829439201716</c:v>
                </c:pt>
                <c:pt idx="127">
                  <c:v>3.4315506680738981</c:v>
                </c:pt>
                <c:pt idx="128">
                  <c:v>3.4848026213298748</c:v>
                </c:pt>
                <c:pt idx="129">
                  <c:v>3.5147078395384614</c:v>
                </c:pt>
                <c:pt idx="130">
                  <c:v>3.5832103037412342</c:v>
                </c:pt>
                <c:pt idx="131">
                  <c:v>3.7419607770311751</c:v>
                </c:pt>
                <c:pt idx="132">
                  <c:v>3.7779961084476197</c:v>
                </c:pt>
                <c:pt idx="133">
                  <c:v>3.773172120720659</c:v>
                </c:pt>
                <c:pt idx="134">
                  <c:v>3.8819111937842461</c:v>
                </c:pt>
                <c:pt idx="135">
                  <c:v>3.9395097438405253</c:v>
                </c:pt>
                <c:pt idx="136">
                  <c:v>3.9768162727140481</c:v>
                </c:pt>
                <c:pt idx="137">
                  <c:v>4.0475337854219475</c:v>
                </c:pt>
                <c:pt idx="138">
                  <c:v>4.0701769046889495</c:v>
                </c:pt>
                <c:pt idx="139">
                  <c:v>4.0952011753065936</c:v>
                </c:pt>
                <c:pt idx="140">
                  <c:v>4.1156746406349463</c:v>
                </c:pt>
                <c:pt idx="141">
                  <c:v>4.1575320418579169</c:v>
                </c:pt>
                <c:pt idx="142">
                  <c:v>4.2543215111438499</c:v>
                </c:pt>
                <c:pt idx="143">
                  <c:v>4.3875499211269409</c:v>
                </c:pt>
                <c:pt idx="144">
                  <c:v>4.5215159928152779</c:v>
                </c:pt>
                <c:pt idx="145">
                  <c:v>4.5304355092806095</c:v>
                </c:pt>
                <c:pt idx="146">
                  <c:v>4.7090930371956894</c:v>
                </c:pt>
                <c:pt idx="147">
                  <c:v>4.7769680401618109</c:v>
                </c:pt>
                <c:pt idx="148">
                  <c:v>4.8232094113253252</c:v>
                </c:pt>
                <c:pt idx="149">
                  <c:v>4.8954404407812406</c:v>
                </c:pt>
                <c:pt idx="150">
                  <c:v>4.9016648560424807</c:v>
                </c:pt>
                <c:pt idx="151">
                  <c:v>4.9246635540437786</c:v>
                </c:pt>
                <c:pt idx="152">
                  <c:v>4.9824417530968894</c:v>
                </c:pt>
                <c:pt idx="153">
                  <c:v>5.0132360290483957</c:v>
                </c:pt>
                <c:pt idx="154">
                  <c:v>5.0341844556624054</c:v>
                </c:pt>
                <c:pt idx="155">
                  <c:v>5.1511874341649824</c:v>
                </c:pt>
                <c:pt idx="156">
                  <c:v>5.1574816899984421</c:v>
                </c:pt>
                <c:pt idx="157">
                  <c:v>5.203753062843619</c:v>
                </c:pt>
                <c:pt idx="158">
                  <c:v>5.3097021806930718</c:v>
                </c:pt>
                <c:pt idx="159">
                  <c:v>5.3372931220009923</c:v>
                </c:pt>
                <c:pt idx="160">
                  <c:v>5.3521770924573833</c:v>
                </c:pt>
                <c:pt idx="161">
                  <c:v>5.4418565294409555</c:v>
                </c:pt>
                <c:pt idx="162">
                  <c:v>5.4306764976853925</c:v>
                </c:pt>
                <c:pt idx="163">
                  <c:v>5.4936435845613083</c:v>
                </c:pt>
                <c:pt idx="164">
                  <c:v>5.5794622188245073</c:v>
                </c:pt>
                <c:pt idx="165">
                  <c:v>5.6072184840484525</c:v>
                </c:pt>
                <c:pt idx="166">
                  <c:v>5.7162261794591656</c:v>
                </c:pt>
                <c:pt idx="167">
                  <c:v>5.9995212523948211</c:v>
                </c:pt>
                <c:pt idx="168">
                  <c:v>5.9516612863788447</c:v>
                </c:pt>
                <c:pt idx="169">
                  <c:v>5.9472180094688945</c:v>
                </c:pt>
                <c:pt idx="170">
                  <c:v>6.0987898582348317</c:v>
                </c:pt>
                <c:pt idx="171">
                  <c:v>6.1404459964571609</c:v>
                </c:pt>
                <c:pt idx="172">
                  <c:v>6.2394089730614199</c:v>
                </c:pt>
                <c:pt idx="173">
                  <c:v>6.4262735394040318</c:v>
                </c:pt>
                <c:pt idx="174">
                  <c:v>6.4144839050469473</c:v>
                </c:pt>
                <c:pt idx="175">
                  <c:v>6.5115017502700461</c:v>
                </c:pt>
                <c:pt idx="176">
                  <c:v>6.637410575283277</c:v>
                </c:pt>
                <c:pt idx="177">
                  <c:v>6.7096391080380364</c:v>
                </c:pt>
                <c:pt idx="178">
                  <c:v>6.8287424828145449</c:v>
                </c:pt>
                <c:pt idx="179">
                  <c:v>7.0555824122878974</c:v>
                </c:pt>
                <c:pt idx="180">
                  <c:v>7.0998170650555714</c:v>
                </c:pt>
                <c:pt idx="181">
                  <c:v>7.1171351385927064</c:v>
                </c:pt>
                <c:pt idx="182">
                  <c:v>7.3703753098952927</c:v>
                </c:pt>
                <c:pt idx="183">
                  <c:v>7.4839145952816466</c:v>
                </c:pt>
                <c:pt idx="184">
                  <c:v>7.5968241548614994</c:v>
                </c:pt>
                <c:pt idx="185">
                  <c:v>7.8535593982743865</c:v>
                </c:pt>
                <c:pt idx="186">
                  <c:v>7.8804740513061766</c:v>
                </c:pt>
                <c:pt idx="187">
                  <c:v>8.0045300204554106</c:v>
                </c:pt>
                <c:pt idx="188">
                  <c:v>8.1720861346309981</c:v>
                </c:pt>
                <c:pt idx="189">
                  <c:v>8.289140175326196</c:v>
                </c:pt>
                <c:pt idx="190">
                  <c:v>8.4129827428428765</c:v>
                </c:pt>
                <c:pt idx="191">
                  <c:v>8.7061227984924869</c:v>
                </c:pt>
                <c:pt idx="192">
                  <c:v>8.7061227984924869</c:v>
                </c:pt>
                <c:pt idx="193">
                  <c:v>8.8971756326093931</c:v>
                </c:pt>
                <c:pt idx="194">
                  <c:v>8.8974722448335317</c:v>
                </c:pt>
                <c:pt idx="195">
                  <c:v>9.0319521004788097</c:v>
                </c:pt>
                <c:pt idx="196">
                  <c:v>9.1641792507626807</c:v>
                </c:pt>
                <c:pt idx="197">
                  <c:v>9.39453604173824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3C-4A59-B532-DBB90246708A}"/>
            </c:ext>
          </c:extLst>
        </c:ser>
        <c:ser>
          <c:idx val="7"/>
          <c:order val="7"/>
          <c:tx>
            <c:strRef>
              <c:f>'1_Kenh_dau_tu'!$I$1</c:f>
              <c:strCache>
                <c:ptCount val="1"/>
                <c:pt idx="0">
                  <c:v>GDP ( giá hiện hành)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'1_Kenh_dau_tu'!$A$2:$A$203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'1_Kenh_dau_tu'!$I$2:$I$203</c:f>
              <c:numCache>
                <c:formatCode>0.0%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2.6739089628849522E-2</c:v>
                </c:pt>
                <c:pt idx="12">
                  <c:v>2.6739089628849522E-2</c:v>
                </c:pt>
                <c:pt idx="13">
                  <c:v>2.6739089628849522E-2</c:v>
                </c:pt>
                <c:pt idx="14">
                  <c:v>8.1883640772840938E-2</c:v>
                </c:pt>
                <c:pt idx="15">
                  <c:v>8.1883640772840938E-2</c:v>
                </c:pt>
                <c:pt idx="16">
                  <c:v>8.1883640772840938E-2</c:v>
                </c:pt>
                <c:pt idx="17">
                  <c:v>0.14651973748439739</c:v>
                </c:pt>
                <c:pt idx="18">
                  <c:v>0.14651973748439739</c:v>
                </c:pt>
                <c:pt idx="19">
                  <c:v>0.14651973748439739</c:v>
                </c:pt>
                <c:pt idx="20">
                  <c:v>0.22351739601286336</c:v>
                </c:pt>
                <c:pt idx="21">
                  <c:v>0.22351739601286336</c:v>
                </c:pt>
                <c:pt idx="22">
                  <c:v>0.22351739601286336</c:v>
                </c:pt>
                <c:pt idx="23">
                  <c:v>0.31684454331925616</c:v>
                </c:pt>
                <c:pt idx="24">
                  <c:v>0.31684454331925616</c:v>
                </c:pt>
                <c:pt idx="25">
                  <c:v>0.31684454331925616</c:v>
                </c:pt>
                <c:pt idx="26">
                  <c:v>0.38773141381751364</c:v>
                </c:pt>
                <c:pt idx="27">
                  <c:v>0.38773141381751364</c:v>
                </c:pt>
                <c:pt idx="28">
                  <c:v>0.38773141381751364</c:v>
                </c:pt>
                <c:pt idx="29">
                  <c:v>0.43630397506065921</c:v>
                </c:pt>
                <c:pt idx="30">
                  <c:v>0.43630397506065921</c:v>
                </c:pt>
                <c:pt idx="31">
                  <c:v>0.43630397506065921</c:v>
                </c:pt>
                <c:pt idx="32">
                  <c:v>0.48080837833801815</c:v>
                </c:pt>
                <c:pt idx="33">
                  <c:v>0.48080837833801815</c:v>
                </c:pt>
                <c:pt idx="34">
                  <c:v>0.48080837833801815</c:v>
                </c:pt>
                <c:pt idx="35">
                  <c:v>0.54142965391419318</c:v>
                </c:pt>
                <c:pt idx="36">
                  <c:v>0.54142965391419318</c:v>
                </c:pt>
                <c:pt idx="37">
                  <c:v>0.54142965391419318</c:v>
                </c:pt>
                <c:pt idx="38">
                  <c:v>0.57479139991611983</c:v>
                </c:pt>
                <c:pt idx="39">
                  <c:v>0.57479139991611983</c:v>
                </c:pt>
                <c:pt idx="40">
                  <c:v>0.57479139991611983</c:v>
                </c:pt>
                <c:pt idx="41">
                  <c:v>0.60832454937663627</c:v>
                </c:pt>
                <c:pt idx="42">
                  <c:v>0.60832454937663627</c:v>
                </c:pt>
                <c:pt idx="43">
                  <c:v>0.60832454937663627</c:v>
                </c:pt>
                <c:pt idx="44">
                  <c:v>0.65874143699111332</c:v>
                </c:pt>
                <c:pt idx="45">
                  <c:v>0.65874143699111332</c:v>
                </c:pt>
                <c:pt idx="46">
                  <c:v>0.65874143699111332</c:v>
                </c:pt>
                <c:pt idx="47">
                  <c:v>0.70154621815419804</c:v>
                </c:pt>
                <c:pt idx="48">
                  <c:v>0.70154621815419804</c:v>
                </c:pt>
                <c:pt idx="49">
                  <c:v>0.70154621815419804</c:v>
                </c:pt>
                <c:pt idx="50">
                  <c:v>0.74554713392075089</c:v>
                </c:pt>
                <c:pt idx="51">
                  <c:v>0.74554713392075089</c:v>
                </c:pt>
                <c:pt idx="52">
                  <c:v>0.74554713392075089</c:v>
                </c:pt>
                <c:pt idx="53">
                  <c:v>0.78448295897209364</c:v>
                </c:pt>
                <c:pt idx="54">
                  <c:v>0.78448295897209364</c:v>
                </c:pt>
                <c:pt idx="55">
                  <c:v>0.78448295897209364</c:v>
                </c:pt>
                <c:pt idx="56">
                  <c:v>0.82973141380801385</c:v>
                </c:pt>
                <c:pt idx="57">
                  <c:v>0.82973141380801385</c:v>
                </c:pt>
                <c:pt idx="58">
                  <c:v>0.82973141380801385</c:v>
                </c:pt>
                <c:pt idx="59">
                  <c:v>0.87108962532264478</c:v>
                </c:pt>
                <c:pt idx="60">
                  <c:v>0.87108962532264478</c:v>
                </c:pt>
                <c:pt idx="61">
                  <c:v>0.87108962532264478</c:v>
                </c:pt>
                <c:pt idx="62">
                  <c:v>0.90180772010399113</c:v>
                </c:pt>
                <c:pt idx="63">
                  <c:v>0.90180772010399113</c:v>
                </c:pt>
                <c:pt idx="64">
                  <c:v>0.90180772010399113</c:v>
                </c:pt>
                <c:pt idx="65">
                  <c:v>0.93000395167434813</c:v>
                </c:pt>
                <c:pt idx="66">
                  <c:v>0.93000395167434813</c:v>
                </c:pt>
                <c:pt idx="67">
                  <c:v>0.93000395167434813</c:v>
                </c:pt>
                <c:pt idx="68">
                  <c:v>0.96338179724168849</c:v>
                </c:pt>
                <c:pt idx="69">
                  <c:v>0.96338179724168849</c:v>
                </c:pt>
                <c:pt idx="70">
                  <c:v>0.96338179724168849</c:v>
                </c:pt>
                <c:pt idx="71">
                  <c:v>0.99317162599482534</c:v>
                </c:pt>
                <c:pt idx="72">
                  <c:v>0.99317162599482534</c:v>
                </c:pt>
                <c:pt idx="73">
                  <c:v>0.99317162599482534</c:v>
                </c:pt>
                <c:pt idx="74">
                  <c:v>1.017281608874316</c:v>
                </c:pt>
                <c:pt idx="75">
                  <c:v>1.017281608874316</c:v>
                </c:pt>
                <c:pt idx="76">
                  <c:v>1.017281608874316</c:v>
                </c:pt>
                <c:pt idx="77">
                  <c:v>1.0467266403363178</c:v>
                </c:pt>
                <c:pt idx="78">
                  <c:v>1.0467266403363178</c:v>
                </c:pt>
                <c:pt idx="79">
                  <c:v>1.0467266403363178</c:v>
                </c:pt>
                <c:pt idx="80">
                  <c:v>1.0874598174613572</c:v>
                </c:pt>
                <c:pt idx="81">
                  <c:v>1.0874598174613572</c:v>
                </c:pt>
                <c:pt idx="82">
                  <c:v>1.0874598174613572</c:v>
                </c:pt>
                <c:pt idx="83">
                  <c:v>1.1365202917724533</c:v>
                </c:pt>
                <c:pt idx="84">
                  <c:v>1.1365202917724533</c:v>
                </c:pt>
                <c:pt idx="85">
                  <c:v>1.1365202917724533</c:v>
                </c:pt>
                <c:pt idx="86">
                  <c:v>1.1845474273107488</c:v>
                </c:pt>
                <c:pt idx="87">
                  <c:v>1.1845474273107488</c:v>
                </c:pt>
                <c:pt idx="88">
                  <c:v>1.1845474273107488</c:v>
                </c:pt>
                <c:pt idx="89">
                  <c:v>1.2315804961684775</c:v>
                </c:pt>
                <c:pt idx="90">
                  <c:v>1.2315804961684775</c:v>
                </c:pt>
                <c:pt idx="91">
                  <c:v>1.2315804961684775</c:v>
                </c:pt>
                <c:pt idx="92">
                  <c:v>1.2848280019255149</c:v>
                </c:pt>
                <c:pt idx="93">
                  <c:v>1.2848280019255149</c:v>
                </c:pt>
                <c:pt idx="94">
                  <c:v>1.2848280019255149</c:v>
                </c:pt>
                <c:pt idx="95">
                  <c:v>1.3700362759374065</c:v>
                </c:pt>
                <c:pt idx="96">
                  <c:v>1.3700362759374065</c:v>
                </c:pt>
                <c:pt idx="97">
                  <c:v>1.3700362759374065</c:v>
                </c:pt>
                <c:pt idx="98">
                  <c:v>1.4271635336891686</c:v>
                </c:pt>
                <c:pt idx="99">
                  <c:v>1.4271635336891686</c:v>
                </c:pt>
                <c:pt idx="100">
                  <c:v>1.4271635336891686</c:v>
                </c:pt>
                <c:pt idx="101">
                  <c:v>1.4817869672340089</c:v>
                </c:pt>
                <c:pt idx="102">
                  <c:v>1.4817869672340089</c:v>
                </c:pt>
                <c:pt idx="103">
                  <c:v>1.4817869672340089</c:v>
                </c:pt>
                <c:pt idx="104">
                  <c:v>1.5492618016158932</c:v>
                </c:pt>
                <c:pt idx="105">
                  <c:v>1.5492618016158932</c:v>
                </c:pt>
                <c:pt idx="106">
                  <c:v>1.5492618016158932</c:v>
                </c:pt>
                <c:pt idx="107">
                  <c:v>1.6232200506668164</c:v>
                </c:pt>
                <c:pt idx="108">
                  <c:v>1.6232200506668164</c:v>
                </c:pt>
                <c:pt idx="109">
                  <c:v>1.6232200506668164</c:v>
                </c:pt>
                <c:pt idx="110">
                  <c:v>1.6759877932616818</c:v>
                </c:pt>
                <c:pt idx="111">
                  <c:v>1.6759877932616818</c:v>
                </c:pt>
                <c:pt idx="112">
                  <c:v>1.6759877932616818</c:v>
                </c:pt>
                <c:pt idx="113">
                  <c:v>1.7360787724270552</c:v>
                </c:pt>
                <c:pt idx="114">
                  <c:v>1.7360787724270552</c:v>
                </c:pt>
                <c:pt idx="115">
                  <c:v>1.7360787724270552</c:v>
                </c:pt>
                <c:pt idx="116">
                  <c:v>1.7973568540358467</c:v>
                </c:pt>
                <c:pt idx="117">
                  <c:v>1.7973568540358467</c:v>
                </c:pt>
                <c:pt idx="118">
                  <c:v>1.7973568540358467</c:v>
                </c:pt>
                <c:pt idx="119">
                  <c:v>1.858361619836046</c:v>
                </c:pt>
                <c:pt idx="120">
                  <c:v>1.858361619836046</c:v>
                </c:pt>
                <c:pt idx="121">
                  <c:v>1.858361619836046</c:v>
                </c:pt>
                <c:pt idx="122">
                  <c:v>1.9029044780518558</c:v>
                </c:pt>
                <c:pt idx="123">
                  <c:v>1.9029044780518558</c:v>
                </c:pt>
                <c:pt idx="124">
                  <c:v>1.9029044780518558</c:v>
                </c:pt>
                <c:pt idx="125">
                  <c:v>1.9105273666345326</c:v>
                </c:pt>
                <c:pt idx="126">
                  <c:v>1.9105273666345326</c:v>
                </c:pt>
                <c:pt idx="127">
                  <c:v>1.9105273666345326</c:v>
                </c:pt>
                <c:pt idx="128">
                  <c:v>1.9361225604620644</c:v>
                </c:pt>
                <c:pt idx="129">
                  <c:v>1.9361225604620644</c:v>
                </c:pt>
                <c:pt idx="130">
                  <c:v>1.9361225604620644</c:v>
                </c:pt>
                <c:pt idx="131">
                  <c:v>1.9805132319559897</c:v>
                </c:pt>
                <c:pt idx="132">
                  <c:v>1.9805132319559897</c:v>
                </c:pt>
                <c:pt idx="133">
                  <c:v>1.9805132319559897</c:v>
                </c:pt>
                <c:pt idx="134">
                  <c:v>1.9933575775859311</c:v>
                </c:pt>
                <c:pt idx="135">
                  <c:v>1.9933575775859311</c:v>
                </c:pt>
                <c:pt idx="136">
                  <c:v>1.9933575775859311</c:v>
                </c:pt>
                <c:pt idx="137">
                  <c:v>2.07172899430291</c:v>
                </c:pt>
                <c:pt idx="138">
                  <c:v>2.07172899430291</c:v>
                </c:pt>
                <c:pt idx="139">
                  <c:v>2.07172899430291</c:v>
                </c:pt>
                <c:pt idx="140">
                  <c:v>2.0434304943381112</c:v>
                </c:pt>
                <c:pt idx="141">
                  <c:v>2.0434304943381112</c:v>
                </c:pt>
                <c:pt idx="142">
                  <c:v>2.0434304943381112</c:v>
                </c:pt>
                <c:pt idx="143">
                  <c:v>2.0676777416076892</c:v>
                </c:pt>
                <c:pt idx="144">
                  <c:v>2.0676777416076892</c:v>
                </c:pt>
                <c:pt idx="145">
                  <c:v>2.0676777416076892</c:v>
                </c:pt>
                <c:pt idx="146">
                  <c:v>2.1311071592281525</c:v>
                </c:pt>
                <c:pt idx="147">
                  <c:v>2.1311071592281525</c:v>
                </c:pt>
                <c:pt idx="148">
                  <c:v>2.1311071592281525</c:v>
                </c:pt>
                <c:pt idx="149">
                  <c:v>2.2234686412069888</c:v>
                </c:pt>
                <c:pt idx="150">
                  <c:v>2.2234686412069888</c:v>
                </c:pt>
                <c:pt idx="151">
                  <c:v>2.2234686412069888</c:v>
                </c:pt>
                <c:pt idx="152">
                  <c:v>2.3628534736390483</c:v>
                </c:pt>
                <c:pt idx="153">
                  <c:v>2.3628534736390483</c:v>
                </c:pt>
                <c:pt idx="154">
                  <c:v>2.3628534736390483</c:v>
                </c:pt>
                <c:pt idx="155">
                  <c:v>2.4615198599909651</c:v>
                </c:pt>
                <c:pt idx="156">
                  <c:v>2.4615198599909651</c:v>
                </c:pt>
                <c:pt idx="157">
                  <c:v>2.4615198599909651</c:v>
                </c:pt>
                <c:pt idx="158">
                  <c:v>2.5197496449103043</c:v>
                </c:pt>
                <c:pt idx="159">
                  <c:v>2.5197496449103043</c:v>
                </c:pt>
                <c:pt idx="160">
                  <c:v>2.5197496449103043</c:v>
                </c:pt>
                <c:pt idx="161">
                  <c:v>2.5758552137242985</c:v>
                </c:pt>
                <c:pt idx="162">
                  <c:v>2.5758552137242985</c:v>
                </c:pt>
                <c:pt idx="163">
                  <c:v>2.5758552137242985</c:v>
                </c:pt>
                <c:pt idx="164">
                  <c:v>2.6403731163346889</c:v>
                </c:pt>
                <c:pt idx="165">
                  <c:v>2.6403731163346889</c:v>
                </c:pt>
                <c:pt idx="166">
                  <c:v>2.6403731163346889</c:v>
                </c:pt>
                <c:pt idx="167">
                  <c:v>2.7324392360970515</c:v>
                </c:pt>
                <c:pt idx="168">
                  <c:v>2.7324392360970515</c:v>
                </c:pt>
                <c:pt idx="169">
                  <c:v>2.7324392360970515</c:v>
                </c:pt>
                <c:pt idx="170">
                  <c:v>2.81308995678453</c:v>
                </c:pt>
                <c:pt idx="171">
                  <c:v>2.81308995678453</c:v>
                </c:pt>
                <c:pt idx="172">
                  <c:v>2.81308995678453</c:v>
                </c:pt>
                <c:pt idx="173">
                  <c:v>2.9177503629401196</c:v>
                </c:pt>
                <c:pt idx="174">
                  <c:v>2.9177503629401196</c:v>
                </c:pt>
                <c:pt idx="175">
                  <c:v>2.9177503629401196</c:v>
                </c:pt>
                <c:pt idx="176">
                  <c:v>3.0419617908329348</c:v>
                </c:pt>
                <c:pt idx="177">
                  <c:v>3.0419617908329348</c:v>
                </c:pt>
                <c:pt idx="178">
                  <c:v>3.0419617908329348</c:v>
                </c:pt>
                <c:pt idx="179">
                  <c:v>3.1793802194634209</c:v>
                </c:pt>
                <c:pt idx="180">
                  <c:v>3.1793802194634209</c:v>
                </c:pt>
                <c:pt idx="181">
                  <c:v>3.1793802194634209</c:v>
                </c:pt>
                <c:pt idx="182">
                  <c:v>3.2859944429774757</c:v>
                </c:pt>
                <c:pt idx="183">
                  <c:v>3.2859944429774757</c:v>
                </c:pt>
                <c:pt idx="184">
                  <c:v>3.2859944429774757</c:v>
                </c:pt>
                <c:pt idx="185">
                  <c:v>3.4202198351708875</c:v>
                </c:pt>
                <c:pt idx="186">
                  <c:v>3.4202198351708875</c:v>
                </c:pt>
                <c:pt idx="187">
                  <c:v>3.4202198351708875</c:v>
                </c:pt>
                <c:pt idx="188">
                  <c:v>3.5451784010905056</c:v>
                </c:pt>
                <c:pt idx="189">
                  <c:v>3.5451784010905056</c:v>
                </c:pt>
                <c:pt idx="190">
                  <c:v>3.5451784010905056</c:v>
                </c:pt>
                <c:pt idx="191">
                  <c:v>3.6962089085913128</c:v>
                </c:pt>
                <c:pt idx="192">
                  <c:v>3.6962089085913128</c:v>
                </c:pt>
                <c:pt idx="193">
                  <c:v>3.6962089085913128</c:v>
                </c:pt>
                <c:pt idx="194">
                  <c:v>3.8183724297394717</c:v>
                </c:pt>
                <c:pt idx="195">
                  <c:v>3.8183724297394717</c:v>
                </c:pt>
                <c:pt idx="196">
                  <c:v>3.8183724297394717</c:v>
                </c:pt>
                <c:pt idx="197">
                  <c:v>3.9636451912708148</c:v>
                </c:pt>
                <c:pt idx="198">
                  <c:v>3.9636451912708148</c:v>
                </c:pt>
                <c:pt idx="199">
                  <c:v>3.9636451912708148</c:v>
                </c:pt>
                <c:pt idx="200">
                  <c:v>4.1321132261169664</c:v>
                </c:pt>
                <c:pt idx="201">
                  <c:v>4.1321132261169664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3C-4A59-B532-DBB902467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806080"/>
        <c:axId val="2003087984"/>
      </c:lineChart>
      <c:dateAx>
        <c:axId val="666806080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87984"/>
        <c:crosses val="autoZero"/>
        <c:auto val="1"/>
        <c:lblOffset val="100"/>
        <c:baseTimeUnit val="months"/>
      </c:dateAx>
      <c:valAx>
        <c:axId val="200308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0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'2_Fed_vs_NHNN'!$B$1</c:f>
              <c:strCache>
                <c:ptCount val="1"/>
                <c:pt idx="0">
                  <c:v>Fed - EFFR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'2_Fed_vs_NHNN'!$A$2:$A$203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'2_Fed_vs_NHNN'!$B$2:$B$203</c:f>
              <c:numCache>
                <c:formatCode>#,##0.00</c:formatCode>
                <c:ptCount val="202"/>
                <c:pt idx="0">
                  <c:v>0.12</c:v>
                </c:pt>
                <c:pt idx="1">
                  <c:v>0.13</c:v>
                </c:pt>
                <c:pt idx="2">
                  <c:v>0.09</c:v>
                </c:pt>
                <c:pt idx="3">
                  <c:v>0.2</c:v>
                </c:pt>
                <c:pt idx="4">
                  <c:v>0.19</c:v>
                </c:pt>
                <c:pt idx="5">
                  <c:v>0.09</c:v>
                </c:pt>
                <c:pt idx="6">
                  <c:v>0.18</c:v>
                </c:pt>
                <c:pt idx="7">
                  <c:v>0.21</c:v>
                </c:pt>
                <c:pt idx="8">
                  <c:v>0.15</c:v>
                </c:pt>
                <c:pt idx="9">
                  <c:v>0.2</c:v>
                </c:pt>
                <c:pt idx="10">
                  <c:v>0.2</c:v>
                </c:pt>
                <c:pt idx="11">
                  <c:v>0.13</c:v>
                </c:pt>
                <c:pt idx="12">
                  <c:v>0.17</c:v>
                </c:pt>
                <c:pt idx="13">
                  <c:v>0.16</c:v>
                </c:pt>
                <c:pt idx="14">
                  <c:v>0.1</c:v>
                </c:pt>
                <c:pt idx="15">
                  <c:v>0.09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0.11</c:v>
                </c:pt>
                <c:pt idx="19">
                  <c:v>0.08</c:v>
                </c:pt>
                <c:pt idx="20">
                  <c:v>0.06</c:v>
                </c:pt>
                <c:pt idx="21">
                  <c:v>0.09</c:v>
                </c:pt>
                <c:pt idx="22">
                  <c:v>0.1</c:v>
                </c:pt>
                <c:pt idx="23">
                  <c:v>0.04</c:v>
                </c:pt>
                <c:pt idx="24">
                  <c:v>0.11</c:v>
                </c:pt>
                <c:pt idx="25">
                  <c:v>0.1</c:v>
                </c:pt>
                <c:pt idx="26">
                  <c:v>0.09</c:v>
                </c:pt>
                <c:pt idx="27">
                  <c:v>0.16</c:v>
                </c:pt>
                <c:pt idx="28">
                  <c:v>0.16</c:v>
                </c:pt>
                <c:pt idx="29">
                  <c:v>0.09</c:v>
                </c:pt>
                <c:pt idx="30">
                  <c:v>0.13</c:v>
                </c:pt>
                <c:pt idx="31">
                  <c:v>0.13</c:v>
                </c:pt>
                <c:pt idx="32">
                  <c:v>0.09</c:v>
                </c:pt>
                <c:pt idx="33">
                  <c:v>0.18</c:v>
                </c:pt>
                <c:pt idx="34">
                  <c:v>0.16</c:v>
                </c:pt>
                <c:pt idx="35">
                  <c:v>0.09</c:v>
                </c:pt>
                <c:pt idx="36">
                  <c:v>0.15</c:v>
                </c:pt>
                <c:pt idx="37">
                  <c:v>0.14000000000000001</c:v>
                </c:pt>
                <c:pt idx="38">
                  <c:v>0.09</c:v>
                </c:pt>
                <c:pt idx="39">
                  <c:v>0.14000000000000001</c:v>
                </c:pt>
                <c:pt idx="40">
                  <c:v>0.09</c:v>
                </c:pt>
                <c:pt idx="41">
                  <c:v>7.0000000000000007E-2</c:v>
                </c:pt>
                <c:pt idx="42">
                  <c:v>0.09</c:v>
                </c:pt>
                <c:pt idx="43">
                  <c:v>7.0000000000000007E-2</c:v>
                </c:pt>
                <c:pt idx="44">
                  <c:v>0.06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0.06</c:v>
                </c:pt>
                <c:pt idx="50">
                  <c:v>0.06</c:v>
                </c:pt>
                <c:pt idx="51">
                  <c:v>0.09</c:v>
                </c:pt>
                <c:pt idx="52">
                  <c:v>0.08</c:v>
                </c:pt>
                <c:pt idx="53">
                  <c:v>0.09</c:v>
                </c:pt>
                <c:pt idx="54">
                  <c:v>0.08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0.08</c:v>
                </c:pt>
                <c:pt idx="64">
                  <c:v>0.08</c:v>
                </c:pt>
                <c:pt idx="65">
                  <c:v>0.08</c:v>
                </c:pt>
                <c:pt idx="66">
                  <c:v>0.08</c:v>
                </c:pt>
                <c:pt idx="67">
                  <c:v>0.08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0.08</c:v>
                </c:pt>
                <c:pt idx="71">
                  <c:v>0.2</c:v>
                </c:pt>
                <c:pt idx="72">
                  <c:v>0.28999999999999998</c:v>
                </c:pt>
                <c:pt idx="73">
                  <c:v>0.28999999999999998</c:v>
                </c:pt>
                <c:pt idx="74">
                  <c:v>0.25</c:v>
                </c:pt>
                <c:pt idx="75">
                  <c:v>0.3</c:v>
                </c:pt>
                <c:pt idx="76">
                  <c:v>0.28999999999999998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0.28999999999999998</c:v>
                </c:pt>
                <c:pt idx="81">
                  <c:v>0.31</c:v>
                </c:pt>
                <c:pt idx="82">
                  <c:v>0.31</c:v>
                </c:pt>
                <c:pt idx="83">
                  <c:v>0.55000000000000004</c:v>
                </c:pt>
                <c:pt idx="84">
                  <c:v>0.56000000000000005</c:v>
                </c:pt>
                <c:pt idx="85">
                  <c:v>0.56999999999999995</c:v>
                </c:pt>
                <c:pt idx="86">
                  <c:v>0.82</c:v>
                </c:pt>
                <c:pt idx="87">
                  <c:v>0.83</c:v>
                </c:pt>
                <c:pt idx="88">
                  <c:v>0.83</c:v>
                </c:pt>
                <c:pt idx="89">
                  <c:v>1.06</c:v>
                </c:pt>
                <c:pt idx="90">
                  <c:v>1.07</c:v>
                </c:pt>
                <c:pt idx="91">
                  <c:v>1.07</c:v>
                </c:pt>
                <c:pt idx="92">
                  <c:v>1.06</c:v>
                </c:pt>
                <c:pt idx="93">
                  <c:v>1.07</c:v>
                </c:pt>
                <c:pt idx="94">
                  <c:v>1.07</c:v>
                </c:pt>
                <c:pt idx="95">
                  <c:v>1.33</c:v>
                </c:pt>
                <c:pt idx="96">
                  <c:v>1.34</c:v>
                </c:pt>
                <c:pt idx="97">
                  <c:v>1.35</c:v>
                </c:pt>
                <c:pt idx="98">
                  <c:v>1.67</c:v>
                </c:pt>
                <c:pt idx="99">
                  <c:v>1.69</c:v>
                </c:pt>
                <c:pt idx="100">
                  <c:v>1.7</c:v>
                </c:pt>
                <c:pt idx="101">
                  <c:v>1.91</c:v>
                </c:pt>
                <c:pt idx="102">
                  <c:v>1.91</c:v>
                </c:pt>
                <c:pt idx="103">
                  <c:v>1.91</c:v>
                </c:pt>
                <c:pt idx="104">
                  <c:v>2.1800000000000002</c:v>
                </c:pt>
                <c:pt idx="105">
                  <c:v>2.2000000000000002</c:v>
                </c:pt>
                <c:pt idx="106">
                  <c:v>2.2000000000000002</c:v>
                </c:pt>
                <c:pt idx="107">
                  <c:v>2.4</c:v>
                </c:pt>
                <c:pt idx="108">
                  <c:v>2.4</c:v>
                </c:pt>
                <c:pt idx="109">
                  <c:v>2.4</c:v>
                </c:pt>
                <c:pt idx="110">
                  <c:v>2.4300000000000002</c:v>
                </c:pt>
                <c:pt idx="111">
                  <c:v>2.4500000000000002</c:v>
                </c:pt>
                <c:pt idx="112">
                  <c:v>2.4</c:v>
                </c:pt>
                <c:pt idx="113">
                  <c:v>2.4</c:v>
                </c:pt>
                <c:pt idx="114">
                  <c:v>2.4</c:v>
                </c:pt>
                <c:pt idx="115">
                  <c:v>2.13</c:v>
                </c:pt>
                <c:pt idx="116">
                  <c:v>1.9</c:v>
                </c:pt>
                <c:pt idx="117">
                  <c:v>1.58</c:v>
                </c:pt>
                <c:pt idx="118">
                  <c:v>1.56</c:v>
                </c:pt>
                <c:pt idx="119">
                  <c:v>1.55</c:v>
                </c:pt>
                <c:pt idx="120">
                  <c:v>1.59</c:v>
                </c:pt>
                <c:pt idx="121">
                  <c:v>1.58</c:v>
                </c:pt>
                <c:pt idx="122">
                  <c:v>0.08</c:v>
                </c:pt>
                <c:pt idx="123">
                  <c:v>0.05</c:v>
                </c:pt>
                <c:pt idx="124">
                  <c:v>0.05</c:v>
                </c:pt>
                <c:pt idx="125">
                  <c:v>0.08</c:v>
                </c:pt>
                <c:pt idx="126">
                  <c:v>0.1</c:v>
                </c:pt>
                <c:pt idx="127">
                  <c:v>0.09</c:v>
                </c:pt>
                <c:pt idx="128">
                  <c:v>0.09</c:v>
                </c:pt>
                <c:pt idx="129">
                  <c:v>0.09</c:v>
                </c:pt>
                <c:pt idx="130">
                  <c:v>0.09</c:v>
                </c:pt>
                <c:pt idx="131">
                  <c:v>0.09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0.06</c:v>
                </c:pt>
                <c:pt idx="135">
                  <c:v>0.05</c:v>
                </c:pt>
                <c:pt idx="136">
                  <c:v>0.05</c:v>
                </c:pt>
                <c:pt idx="137">
                  <c:v>0.08</c:v>
                </c:pt>
                <c:pt idx="138">
                  <c:v>7.0000000000000007E-2</c:v>
                </c:pt>
                <c:pt idx="139">
                  <c:v>0.06</c:v>
                </c:pt>
                <c:pt idx="140">
                  <c:v>0.06</c:v>
                </c:pt>
                <c:pt idx="141">
                  <c:v>7.0000000000000007E-2</c:v>
                </c:pt>
                <c:pt idx="142">
                  <c:v>7.0000000000000007E-2</c:v>
                </c:pt>
                <c:pt idx="143">
                  <c:v>7.0000000000000007E-2</c:v>
                </c:pt>
                <c:pt idx="144">
                  <c:v>0.08</c:v>
                </c:pt>
                <c:pt idx="145">
                  <c:v>0.08</c:v>
                </c:pt>
                <c:pt idx="146">
                  <c:v>0.33</c:v>
                </c:pt>
                <c:pt idx="147">
                  <c:v>0.33</c:v>
                </c:pt>
                <c:pt idx="148">
                  <c:v>0.83</c:v>
                </c:pt>
                <c:pt idx="149">
                  <c:v>1.58</c:v>
                </c:pt>
                <c:pt idx="150">
                  <c:v>2.3199999999999998</c:v>
                </c:pt>
                <c:pt idx="151">
                  <c:v>2.33</c:v>
                </c:pt>
                <c:pt idx="152">
                  <c:v>3.08</c:v>
                </c:pt>
                <c:pt idx="153">
                  <c:v>3.08</c:v>
                </c:pt>
                <c:pt idx="154">
                  <c:v>3.83</c:v>
                </c:pt>
                <c:pt idx="155">
                  <c:v>4.33</c:v>
                </c:pt>
                <c:pt idx="156">
                  <c:v>4.33</c:v>
                </c:pt>
                <c:pt idx="157">
                  <c:v>4.57</c:v>
                </c:pt>
                <c:pt idx="158">
                  <c:v>4.83</c:v>
                </c:pt>
                <c:pt idx="159">
                  <c:v>4.83</c:v>
                </c:pt>
                <c:pt idx="160">
                  <c:v>5.08</c:v>
                </c:pt>
                <c:pt idx="161">
                  <c:v>5.08</c:v>
                </c:pt>
                <c:pt idx="162">
                  <c:v>5.33</c:v>
                </c:pt>
                <c:pt idx="163">
                  <c:v>5.33</c:v>
                </c:pt>
                <c:pt idx="164">
                  <c:v>5.33</c:v>
                </c:pt>
                <c:pt idx="165">
                  <c:v>5.33</c:v>
                </c:pt>
                <c:pt idx="166">
                  <c:v>5.33</c:v>
                </c:pt>
                <c:pt idx="167">
                  <c:v>5.33</c:v>
                </c:pt>
                <c:pt idx="168">
                  <c:v>5.33</c:v>
                </c:pt>
                <c:pt idx="169">
                  <c:v>5.33</c:v>
                </c:pt>
                <c:pt idx="170">
                  <c:v>5.33</c:v>
                </c:pt>
                <c:pt idx="171">
                  <c:v>5.33</c:v>
                </c:pt>
                <c:pt idx="172">
                  <c:v>5.33</c:v>
                </c:pt>
                <c:pt idx="173">
                  <c:v>5.33</c:v>
                </c:pt>
                <c:pt idx="174">
                  <c:v>5.33</c:v>
                </c:pt>
                <c:pt idx="175">
                  <c:v>5.33</c:v>
                </c:pt>
                <c:pt idx="176">
                  <c:v>4.83</c:v>
                </c:pt>
                <c:pt idx="177">
                  <c:v>4.83</c:v>
                </c:pt>
                <c:pt idx="178">
                  <c:v>4.58</c:v>
                </c:pt>
                <c:pt idx="179">
                  <c:v>4.33</c:v>
                </c:pt>
                <c:pt idx="180">
                  <c:v>4.33</c:v>
                </c:pt>
                <c:pt idx="181">
                  <c:v>4.33</c:v>
                </c:pt>
                <c:pt idx="182">
                  <c:v>4.33</c:v>
                </c:pt>
                <c:pt idx="183">
                  <c:v>4.33</c:v>
                </c:pt>
                <c:pt idx="184">
                  <c:v>4.33</c:v>
                </c:pt>
                <c:pt idx="185">
                  <c:v>4.33</c:v>
                </c:pt>
                <c:pt idx="186">
                  <c:v>4.33</c:v>
                </c:pt>
                <c:pt idx="187">
                  <c:v>4.33</c:v>
                </c:pt>
                <c:pt idx="188">
                  <c:v>4.09</c:v>
                </c:pt>
                <c:pt idx="189">
                  <c:v>3.86</c:v>
                </c:pt>
                <c:pt idx="190">
                  <c:v>3.89</c:v>
                </c:pt>
                <c:pt idx="191">
                  <c:v>3.64</c:v>
                </c:pt>
                <c:pt idx="192">
                  <c:v>3.64</c:v>
                </c:pt>
                <c:pt idx="193">
                  <c:v>3.64</c:v>
                </c:pt>
                <c:pt idx="194">
                  <c:v>3.64</c:v>
                </c:pt>
                <c:pt idx="195">
                  <c:v>3.64</c:v>
                </c:pt>
                <c:pt idx="196">
                  <c:v>3.62</c:v>
                </c:pt>
                <c:pt idx="197">
                  <c:v>3.63</c:v>
                </c:pt>
                <c:pt idx="198">
                  <c:v>3.63</c:v>
                </c:pt>
                <c:pt idx="199">
                  <c:v>3.63</c:v>
                </c:pt>
                <c:pt idx="200">
                  <c:v>3.88</c:v>
                </c:pt>
                <c:pt idx="201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8-42BC-B846-31F5F66505A3}"/>
            </c:ext>
          </c:extLst>
        </c:ser>
        <c:ser>
          <c:idx val="1"/>
          <c:order val="1"/>
          <c:tx>
            <c:strRef>
              <c:f>'2_Fed_vs_NHNN'!$C$1</c:f>
              <c:strCache>
                <c:ptCount val="1"/>
                <c:pt idx="0">
                  <c:v>NHNN - LS tái cấp vốn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'2_Fed_vs_NHNN'!$A$2:$A$203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'2_Fed_vs_NHNN'!$C$2:$C$203</c:f>
              <c:numCache>
                <c:formatCode>#,##0.00</c:formatCode>
                <c:ptCount val="20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14</c:v>
                </c:pt>
                <c:pt idx="27">
                  <c:v>13</c:v>
                </c:pt>
                <c:pt idx="28">
                  <c:v>12</c:v>
                </c:pt>
                <c:pt idx="29">
                  <c:v>11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8</c:v>
                </c:pt>
                <c:pt idx="39">
                  <c:v>8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6.5</c:v>
                </c:pt>
                <c:pt idx="51">
                  <c:v>6.5</c:v>
                </c:pt>
                <c:pt idx="52">
                  <c:v>6.5</c:v>
                </c:pt>
                <c:pt idx="53">
                  <c:v>6.5</c:v>
                </c:pt>
                <c:pt idx="54">
                  <c:v>6.5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6.5</c:v>
                </c:pt>
                <c:pt idx="80">
                  <c:v>6.5</c:v>
                </c:pt>
                <c:pt idx="81">
                  <c:v>6.5</c:v>
                </c:pt>
                <c:pt idx="82">
                  <c:v>6.5</c:v>
                </c:pt>
                <c:pt idx="83">
                  <c:v>6.5</c:v>
                </c:pt>
                <c:pt idx="84">
                  <c:v>6.5</c:v>
                </c:pt>
                <c:pt idx="85">
                  <c:v>6.5</c:v>
                </c:pt>
                <c:pt idx="86">
                  <c:v>6.5</c:v>
                </c:pt>
                <c:pt idx="87">
                  <c:v>6.5</c:v>
                </c:pt>
                <c:pt idx="88">
                  <c:v>6.5</c:v>
                </c:pt>
                <c:pt idx="89">
                  <c:v>6.5</c:v>
                </c:pt>
                <c:pt idx="90">
                  <c:v>6.25</c:v>
                </c:pt>
                <c:pt idx="91">
                  <c:v>6.25</c:v>
                </c:pt>
                <c:pt idx="92">
                  <c:v>6.25</c:v>
                </c:pt>
                <c:pt idx="93">
                  <c:v>6.25</c:v>
                </c:pt>
                <c:pt idx="94">
                  <c:v>6.25</c:v>
                </c:pt>
                <c:pt idx="95">
                  <c:v>6.25</c:v>
                </c:pt>
                <c:pt idx="96">
                  <c:v>6.25</c:v>
                </c:pt>
                <c:pt idx="97">
                  <c:v>6.25</c:v>
                </c:pt>
                <c:pt idx="98">
                  <c:v>6.25</c:v>
                </c:pt>
                <c:pt idx="99">
                  <c:v>6.25</c:v>
                </c:pt>
                <c:pt idx="100">
                  <c:v>6.25</c:v>
                </c:pt>
                <c:pt idx="101">
                  <c:v>6.25</c:v>
                </c:pt>
                <c:pt idx="102">
                  <c:v>6.25</c:v>
                </c:pt>
                <c:pt idx="103">
                  <c:v>6.25</c:v>
                </c:pt>
                <c:pt idx="104">
                  <c:v>6.25</c:v>
                </c:pt>
                <c:pt idx="105">
                  <c:v>6.25</c:v>
                </c:pt>
                <c:pt idx="106">
                  <c:v>6.25</c:v>
                </c:pt>
                <c:pt idx="107">
                  <c:v>6.25</c:v>
                </c:pt>
                <c:pt idx="108">
                  <c:v>6.25</c:v>
                </c:pt>
                <c:pt idx="109">
                  <c:v>6.25</c:v>
                </c:pt>
                <c:pt idx="110">
                  <c:v>6.25</c:v>
                </c:pt>
                <c:pt idx="111">
                  <c:v>6.25</c:v>
                </c:pt>
                <c:pt idx="112">
                  <c:v>6.25</c:v>
                </c:pt>
                <c:pt idx="113">
                  <c:v>6.25</c:v>
                </c:pt>
                <c:pt idx="114">
                  <c:v>6.25</c:v>
                </c:pt>
                <c:pt idx="115">
                  <c:v>6.25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5</c:v>
                </c:pt>
                <c:pt idx="123">
                  <c:v>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4.5</c:v>
                </c:pt>
                <c:pt idx="128">
                  <c:v>4.5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5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5.5</c:v>
                </c:pt>
                <c:pt idx="160">
                  <c:v>5</c:v>
                </c:pt>
                <c:pt idx="161">
                  <c:v>4.5</c:v>
                </c:pt>
                <c:pt idx="162">
                  <c:v>4.5</c:v>
                </c:pt>
                <c:pt idx="163">
                  <c:v>4.5</c:v>
                </c:pt>
                <c:pt idx="164">
                  <c:v>4.5</c:v>
                </c:pt>
                <c:pt idx="165">
                  <c:v>4.5</c:v>
                </c:pt>
                <c:pt idx="166">
                  <c:v>4.5</c:v>
                </c:pt>
                <c:pt idx="167">
                  <c:v>4.5</c:v>
                </c:pt>
                <c:pt idx="168">
                  <c:v>4.5</c:v>
                </c:pt>
                <c:pt idx="169">
                  <c:v>4.5</c:v>
                </c:pt>
                <c:pt idx="170">
                  <c:v>4.5</c:v>
                </c:pt>
                <c:pt idx="171">
                  <c:v>4.5</c:v>
                </c:pt>
                <c:pt idx="172">
                  <c:v>4.5</c:v>
                </c:pt>
                <c:pt idx="173">
                  <c:v>4.5</c:v>
                </c:pt>
                <c:pt idx="174">
                  <c:v>4.5</c:v>
                </c:pt>
                <c:pt idx="175">
                  <c:v>4.5</c:v>
                </c:pt>
                <c:pt idx="176">
                  <c:v>4.5</c:v>
                </c:pt>
                <c:pt idx="177">
                  <c:v>4.5</c:v>
                </c:pt>
                <c:pt idx="178">
                  <c:v>4.5</c:v>
                </c:pt>
                <c:pt idx="179">
                  <c:v>4.5</c:v>
                </c:pt>
                <c:pt idx="180">
                  <c:v>4.5</c:v>
                </c:pt>
                <c:pt idx="181">
                  <c:v>4.5</c:v>
                </c:pt>
                <c:pt idx="182">
                  <c:v>4.5</c:v>
                </c:pt>
                <c:pt idx="183">
                  <c:v>4.5</c:v>
                </c:pt>
                <c:pt idx="184">
                  <c:v>4.5</c:v>
                </c:pt>
                <c:pt idx="185">
                  <c:v>4.5</c:v>
                </c:pt>
                <c:pt idx="186">
                  <c:v>4.5</c:v>
                </c:pt>
                <c:pt idx="187">
                  <c:v>4.5</c:v>
                </c:pt>
                <c:pt idx="188">
                  <c:v>4.5</c:v>
                </c:pt>
                <c:pt idx="189">
                  <c:v>4.5</c:v>
                </c:pt>
                <c:pt idx="190">
                  <c:v>4.5</c:v>
                </c:pt>
                <c:pt idx="191">
                  <c:v>4.5</c:v>
                </c:pt>
                <c:pt idx="192">
                  <c:v>4.5</c:v>
                </c:pt>
                <c:pt idx="193">
                  <c:v>4.5</c:v>
                </c:pt>
                <c:pt idx="194">
                  <c:v>4.5</c:v>
                </c:pt>
                <c:pt idx="195">
                  <c:v>4.5</c:v>
                </c:pt>
                <c:pt idx="196">
                  <c:v>4.5</c:v>
                </c:pt>
                <c:pt idx="197">
                  <c:v>4.5</c:v>
                </c:pt>
                <c:pt idx="198">
                  <c:v>4.5</c:v>
                </c:pt>
                <c:pt idx="199">
                  <c:v>4.5</c:v>
                </c:pt>
                <c:pt idx="200">
                  <c:v>4.5</c:v>
                </c:pt>
                <c:pt idx="201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8-42BC-B846-31F5F66505A3}"/>
            </c:ext>
          </c:extLst>
        </c:ser>
        <c:ser>
          <c:idx val="2"/>
          <c:order val="2"/>
          <c:tx>
            <c:strRef>
              <c:f>'2_Fed_vs_NHNN'!$D$1</c:f>
              <c:strCache>
                <c:ptCount val="1"/>
                <c:pt idx="0">
                  <c:v>NHNN - LS tái chiết khấu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'2_Fed_vs_NHNN'!$A$2:$A$203</c:f>
              <c:numCache>
                <c:formatCode>dd/mm/yyyy</c:formatCode>
                <c:ptCount val="202"/>
                <c:pt idx="0">
                  <c:v>40209</c:v>
                </c:pt>
                <c:pt idx="1">
                  <c:v>40237</c:v>
                </c:pt>
                <c:pt idx="2">
                  <c:v>40268</c:v>
                </c:pt>
                <c:pt idx="3">
                  <c:v>40298</c:v>
                </c:pt>
                <c:pt idx="4">
                  <c:v>40329</c:v>
                </c:pt>
                <c:pt idx="5">
                  <c:v>40359</c:v>
                </c:pt>
                <c:pt idx="6">
                  <c:v>40390</c:v>
                </c:pt>
                <c:pt idx="7">
                  <c:v>40421</c:v>
                </c:pt>
                <c:pt idx="8">
                  <c:v>40451</c:v>
                </c:pt>
                <c:pt idx="9">
                  <c:v>40482</c:v>
                </c:pt>
                <c:pt idx="10">
                  <c:v>40512</c:v>
                </c:pt>
                <c:pt idx="11">
                  <c:v>40543</c:v>
                </c:pt>
                <c:pt idx="12">
                  <c:v>40574</c:v>
                </c:pt>
                <c:pt idx="13">
                  <c:v>40602</c:v>
                </c:pt>
                <c:pt idx="14">
                  <c:v>40633</c:v>
                </c:pt>
                <c:pt idx="15">
                  <c:v>40663</c:v>
                </c:pt>
                <c:pt idx="16">
                  <c:v>40694</c:v>
                </c:pt>
                <c:pt idx="17">
                  <c:v>40724</c:v>
                </c:pt>
                <c:pt idx="18">
                  <c:v>40755</c:v>
                </c:pt>
                <c:pt idx="19">
                  <c:v>40786</c:v>
                </c:pt>
                <c:pt idx="20">
                  <c:v>40816</c:v>
                </c:pt>
                <c:pt idx="21">
                  <c:v>40847</c:v>
                </c:pt>
                <c:pt idx="22">
                  <c:v>40877</c:v>
                </c:pt>
                <c:pt idx="23">
                  <c:v>40908</c:v>
                </c:pt>
                <c:pt idx="24">
                  <c:v>40939</c:v>
                </c:pt>
                <c:pt idx="25">
                  <c:v>40968</c:v>
                </c:pt>
                <c:pt idx="26">
                  <c:v>40999</c:v>
                </c:pt>
                <c:pt idx="27">
                  <c:v>41029</c:v>
                </c:pt>
                <c:pt idx="28">
                  <c:v>41060</c:v>
                </c:pt>
                <c:pt idx="29">
                  <c:v>41090</c:v>
                </c:pt>
                <c:pt idx="30">
                  <c:v>41121</c:v>
                </c:pt>
                <c:pt idx="31">
                  <c:v>41152</c:v>
                </c:pt>
                <c:pt idx="32">
                  <c:v>41182</c:v>
                </c:pt>
                <c:pt idx="33">
                  <c:v>41213</c:v>
                </c:pt>
                <c:pt idx="34">
                  <c:v>41243</c:v>
                </c:pt>
                <c:pt idx="35">
                  <c:v>41274</c:v>
                </c:pt>
                <c:pt idx="36">
                  <c:v>41305</c:v>
                </c:pt>
                <c:pt idx="37">
                  <c:v>41333</c:v>
                </c:pt>
                <c:pt idx="38">
                  <c:v>41364</c:v>
                </c:pt>
                <c:pt idx="39">
                  <c:v>41394</c:v>
                </c:pt>
                <c:pt idx="40">
                  <c:v>41425</c:v>
                </c:pt>
                <c:pt idx="41">
                  <c:v>41455</c:v>
                </c:pt>
                <c:pt idx="42">
                  <c:v>41486</c:v>
                </c:pt>
                <c:pt idx="43">
                  <c:v>41517</c:v>
                </c:pt>
                <c:pt idx="44">
                  <c:v>41547</c:v>
                </c:pt>
                <c:pt idx="45">
                  <c:v>41578</c:v>
                </c:pt>
                <c:pt idx="46">
                  <c:v>41608</c:v>
                </c:pt>
                <c:pt idx="47">
                  <c:v>41639</c:v>
                </c:pt>
                <c:pt idx="48">
                  <c:v>41670</c:v>
                </c:pt>
                <c:pt idx="49">
                  <c:v>41698</c:v>
                </c:pt>
                <c:pt idx="50">
                  <c:v>41729</c:v>
                </c:pt>
                <c:pt idx="51">
                  <c:v>41759</c:v>
                </c:pt>
                <c:pt idx="52">
                  <c:v>41790</c:v>
                </c:pt>
                <c:pt idx="53">
                  <c:v>41820</c:v>
                </c:pt>
                <c:pt idx="54">
                  <c:v>41851</c:v>
                </c:pt>
                <c:pt idx="55">
                  <c:v>41882</c:v>
                </c:pt>
                <c:pt idx="56">
                  <c:v>41912</c:v>
                </c:pt>
                <c:pt idx="57">
                  <c:v>41943</c:v>
                </c:pt>
                <c:pt idx="58">
                  <c:v>41973</c:v>
                </c:pt>
                <c:pt idx="59">
                  <c:v>42004</c:v>
                </c:pt>
                <c:pt idx="60">
                  <c:v>42035</c:v>
                </c:pt>
                <c:pt idx="61">
                  <c:v>42063</c:v>
                </c:pt>
                <c:pt idx="62">
                  <c:v>42094</c:v>
                </c:pt>
                <c:pt idx="63">
                  <c:v>42124</c:v>
                </c:pt>
                <c:pt idx="64">
                  <c:v>42155</c:v>
                </c:pt>
                <c:pt idx="65">
                  <c:v>42185</c:v>
                </c:pt>
                <c:pt idx="66">
                  <c:v>42216</c:v>
                </c:pt>
                <c:pt idx="67">
                  <c:v>42247</c:v>
                </c:pt>
                <c:pt idx="68">
                  <c:v>42277</c:v>
                </c:pt>
                <c:pt idx="69">
                  <c:v>42308</c:v>
                </c:pt>
                <c:pt idx="70">
                  <c:v>42338</c:v>
                </c:pt>
                <c:pt idx="71">
                  <c:v>42369</c:v>
                </c:pt>
                <c:pt idx="72">
                  <c:v>42400</c:v>
                </c:pt>
                <c:pt idx="73">
                  <c:v>42429</c:v>
                </c:pt>
                <c:pt idx="74">
                  <c:v>42460</c:v>
                </c:pt>
                <c:pt idx="75">
                  <c:v>42490</c:v>
                </c:pt>
                <c:pt idx="76">
                  <c:v>42521</c:v>
                </c:pt>
                <c:pt idx="77">
                  <c:v>42551</c:v>
                </c:pt>
                <c:pt idx="78">
                  <c:v>42582</c:v>
                </c:pt>
                <c:pt idx="79">
                  <c:v>42613</c:v>
                </c:pt>
                <c:pt idx="80">
                  <c:v>42643</c:v>
                </c:pt>
                <c:pt idx="81">
                  <c:v>42674</c:v>
                </c:pt>
                <c:pt idx="82">
                  <c:v>42704</c:v>
                </c:pt>
                <c:pt idx="83">
                  <c:v>42735</c:v>
                </c:pt>
                <c:pt idx="84">
                  <c:v>42766</c:v>
                </c:pt>
                <c:pt idx="85">
                  <c:v>42794</c:v>
                </c:pt>
                <c:pt idx="86">
                  <c:v>42825</c:v>
                </c:pt>
                <c:pt idx="87">
                  <c:v>42855</c:v>
                </c:pt>
                <c:pt idx="88">
                  <c:v>42886</c:v>
                </c:pt>
                <c:pt idx="89">
                  <c:v>42916</c:v>
                </c:pt>
                <c:pt idx="90">
                  <c:v>42947</c:v>
                </c:pt>
                <c:pt idx="91">
                  <c:v>42978</c:v>
                </c:pt>
                <c:pt idx="92">
                  <c:v>43008</c:v>
                </c:pt>
                <c:pt idx="93">
                  <c:v>43039</c:v>
                </c:pt>
                <c:pt idx="94">
                  <c:v>43069</c:v>
                </c:pt>
                <c:pt idx="95">
                  <c:v>43100</c:v>
                </c:pt>
                <c:pt idx="96">
                  <c:v>43131</c:v>
                </c:pt>
                <c:pt idx="97">
                  <c:v>43159</c:v>
                </c:pt>
                <c:pt idx="98">
                  <c:v>43190</c:v>
                </c:pt>
                <c:pt idx="99">
                  <c:v>43220</c:v>
                </c:pt>
                <c:pt idx="100">
                  <c:v>43251</c:v>
                </c:pt>
                <c:pt idx="101">
                  <c:v>43281</c:v>
                </c:pt>
                <c:pt idx="102">
                  <c:v>43312</c:v>
                </c:pt>
                <c:pt idx="103">
                  <c:v>43343</c:v>
                </c:pt>
                <c:pt idx="104">
                  <c:v>43373</c:v>
                </c:pt>
                <c:pt idx="105">
                  <c:v>43404</c:v>
                </c:pt>
                <c:pt idx="106">
                  <c:v>43434</c:v>
                </c:pt>
                <c:pt idx="107">
                  <c:v>43465</c:v>
                </c:pt>
                <c:pt idx="108">
                  <c:v>43496</c:v>
                </c:pt>
                <c:pt idx="109">
                  <c:v>43524</c:v>
                </c:pt>
                <c:pt idx="110">
                  <c:v>43555</c:v>
                </c:pt>
                <c:pt idx="111">
                  <c:v>43585</c:v>
                </c:pt>
                <c:pt idx="112">
                  <c:v>43616</c:v>
                </c:pt>
                <c:pt idx="113">
                  <c:v>43646</c:v>
                </c:pt>
                <c:pt idx="114">
                  <c:v>43677</c:v>
                </c:pt>
                <c:pt idx="115">
                  <c:v>43708</c:v>
                </c:pt>
                <c:pt idx="116">
                  <c:v>43738</c:v>
                </c:pt>
                <c:pt idx="117">
                  <c:v>43769</c:v>
                </c:pt>
                <c:pt idx="118">
                  <c:v>43799</c:v>
                </c:pt>
                <c:pt idx="119">
                  <c:v>43830</c:v>
                </c:pt>
                <c:pt idx="120">
                  <c:v>43861</c:v>
                </c:pt>
                <c:pt idx="121">
                  <c:v>43890</c:v>
                </c:pt>
                <c:pt idx="122">
                  <c:v>43921</c:v>
                </c:pt>
                <c:pt idx="123">
                  <c:v>43951</c:v>
                </c:pt>
                <c:pt idx="124">
                  <c:v>43982</c:v>
                </c:pt>
                <c:pt idx="125">
                  <c:v>44012</c:v>
                </c:pt>
                <c:pt idx="126">
                  <c:v>44043</c:v>
                </c:pt>
                <c:pt idx="127">
                  <c:v>44074</c:v>
                </c:pt>
                <c:pt idx="128">
                  <c:v>44104</c:v>
                </c:pt>
                <c:pt idx="129">
                  <c:v>44135</c:v>
                </c:pt>
                <c:pt idx="130">
                  <c:v>44165</c:v>
                </c:pt>
                <c:pt idx="131">
                  <c:v>44196</c:v>
                </c:pt>
                <c:pt idx="132">
                  <c:v>44227</c:v>
                </c:pt>
                <c:pt idx="133">
                  <c:v>44255</c:v>
                </c:pt>
                <c:pt idx="134">
                  <c:v>44286</c:v>
                </c:pt>
                <c:pt idx="135">
                  <c:v>44316</c:v>
                </c:pt>
                <c:pt idx="136">
                  <c:v>44347</c:v>
                </c:pt>
                <c:pt idx="137">
                  <c:v>44377</c:v>
                </c:pt>
                <c:pt idx="138">
                  <c:v>44408</c:v>
                </c:pt>
                <c:pt idx="139">
                  <c:v>44439</c:v>
                </c:pt>
                <c:pt idx="140">
                  <c:v>44469</c:v>
                </c:pt>
                <c:pt idx="141">
                  <c:v>44500</c:v>
                </c:pt>
                <c:pt idx="142">
                  <c:v>44530</c:v>
                </c:pt>
                <c:pt idx="143">
                  <c:v>44561</c:v>
                </c:pt>
                <c:pt idx="144">
                  <c:v>44592</c:v>
                </c:pt>
                <c:pt idx="145">
                  <c:v>44620</c:v>
                </c:pt>
                <c:pt idx="146">
                  <c:v>44651</c:v>
                </c:pt>
                <c:pt idx="147">
                  <c:v>44681</c:v>
                </c:pt>
                <c:pt idx="148">
                  <c:v>44712</c:v>
                </c:pt>
                <c:pt idx="149">
                  <c:v>44742</c:v>
                </c:pt>
                <c:pt idx="150">
                  <c:v>44773</c:v>
                </c:pt>
                <c:pt idx="151">
                  <c:v>44804</c:v>
                </c:pt>
                <c:pt idx="152">
                  <c:v>44834</c:v>
                </c:pt>
                <c:pt idx="153">
                  <c:v>44865</c:v>
                </c:pt>
                <c:pt idx="154">
                  <c:v>44895</c:v>
                </c:pt>
                <c:pt idx="155">
                  <c:v>44926</c:v>
                </c:pt>
                <c:pt idx="156">
                  <c:v>44957</c:v>
                </c:pt>
                <c:pt idx="157">
                  <c:v>44985</c:v>
                </c:pt>
                <c:pt idx="158">
                  <c:v>45016</c:v>
                </c:pt>
                <c:pt idx="159">
                  <c:v>45046</c:v>
                </c:pt>
                <c:pt idx="160">
                  <c:v>45077</c:v>
                </c:pt>
                <c:pt idx="161">
                  <c:v>45107</c:v>
                </c:pt>
                <c:pt idx="162">
                  <c:v>45138</c:v>
                </c:pt>
                <c:pt idx="163">
                  <c:v>45169</c:v>
                </c:pt>
                <c:pt idx="164">
                  <c:v>45199</c:v>
                </c:pt>
                <c:pt idx="165">
                  <c:v>45230</c:v>
                </c:pt>
                <c:pt idx="166">
                  <c:v>45260</c:v>
                </c:pt>
                <c:pt idx="167">
                  <c:v>45291</c:v>
                </c:pt>
                <c:pt idx="168">
                  <c:v>45322</c:v>
                </c:pt>
                <c:pt idx="169">
                  <c:v>45351</c:v>
                </c:pt>
                <c:pt idx="170">
                  <c:v>45382</c:v>
                </c:pt>
                <c:pt idx="171">
                  <c:v>45412</c:v>
                </c:pt>
                <c:pt idx="172">
                  <c:v>45443</c:v>
                </c:pt>
                <c:pt idx="173">
                  <c:v>45473</c:v>
                </c:pt>
                <c:pt idx="174">
                  <c:v>45504</c:v>
                </c:pt>
                <c:pt idx="175">
                  <c:v>45535</c:v>
                </c:pt>
                <c:pt idx="176">
                  <c:v>45565</c:v>
                </c:pt>
                <c:pt idx="177">
                  <c:v>45596</c:v>
                </c:pt>
                <c:pt idx="178">
                  <c:v>45626</c:v>
                </c:pt>
                <c:pt idx="179">
                  <c:v>45657</c:v>
                </c:pt>
                <c:pt idx="180">
                  <c:v>45688</c:v>
                </c:pt>
                <c:pt idx="181">
                  <c:v>45716</c:v>
                </c:pt>
                <c:pt idx="182">
                  <c:v>45747</c:v>
                </c:pt>
                <c:pt idx="183">
                  <c:v>45777</c:v>
                </c:pt>
                <c:pt idx="184">
                  <c:v>45808</c:v>
                </c:pt>
                <c:pt idx="185">
                  <c:v>45838</c:v>
                </c:pt>
                <c:pt idx="186">
                  <c:v>45869</c:v>
                </c:pt>
                <c:pt idx="187">
                  <c:v>45900</c:v>
                </c:pt>
                <c:pt idx="188">
                  <c:v>45930</c:v>
                </c:pt>
                <c:pt idx="189">
                  <c:v>45961</c:v>
                </c:pt>
                <c:pt idx="190">
                  <c:v>45991</c:v>
                </c:pt>
                <c:pt idx="191">
                  <c:v>46022</c:v>
                </c:pt>
                <c:pt idx="192">
                  <c:v>46053</c:v>
                </c:pt>
                <c:pt idx="193">
                  <c:v>46081</c:v>
                </c:pt>
                <c:pt idx="194">
                  <c:v>46112</c:v>
                </c:pt>
                <c:pt idx="195">
                  <c:v>46142</c:v>
                </c:pt>
                <c:pt idx="196">
                  <c:v>46173</c:v>
                </c:pt>
                <c:pt idx="197">
                  <c:v>46203</c:v>
                </c:pt>
                <c:pt idx="198">
                  <c:v>46234</c:v>
                </c:pt>
                <c:pt idx="199">
                  <c:v>46265</c:v>
                </c:pt>
                <c:pt idx="200">
                  <c:v>46295</c:v>
                </c:pt>
                <c:pt idx="201">
                  <c:v>46326</c:v>
                </c:pt>
              </c:numCache>
            </c:numRef>
          </c:cat>
          <c:val>
            <c:numRef>
              <c:f>'2_Fed_vs_NHNN'!$D$2:$D$203</c:f>
              <c:numCache>
                <c:formatCode>#,##0.00</c:formatCode>
                <c:ptCount val="20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12</c:v>
                </c:pt>
                <c:pt idx="27">
                  <c:v>11</c:v>
                </c:pt>
                <c:pt idx="28">
                  <c:v>10</c:v>
                </c:pt>
                <c:pt idx="29">
                  <c:v>9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6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</c:v>
                </c:pt>
                <c:pt idx="62">
                  <c:v>4.5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4.5</c:v>
                </c:pt>
                <c:pt idx="70">
                  <c:v>4.5</c:v>
                </c:pt>
                <c:pt idx="71">
                  <c:v>4.5</c:v>
                </c:pt>
                <c:pt idx="72">
                  <c:v>4.5</c:v>
                </c:pt>
                <c:pt idx="73">
                  <c:v>4.5</c:v>
                </c:pt>
                <c:pt idx="74">
                  <c:v>4.5</c:v>
                </c:pt>
                <c:pt idx="75">
                  <c:v>4.5</c:v>
                </c:pt>
                <c:pt idx="76">
                  <c:v>4.5</c:v>
                </c:pt>
                <c:pt idx="77">
                  <c:v>4.5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4.5</c:v>
                </c:pt>
                <c:pt idx="88">
                  <c:v>4.5</c:v>
                </c:pt>
                <c:pt idx="89">
                  <c:v>4.5</c:v>
                </c:pt>
                <c:pt idx="90">
                  <c:v>4.25</c:v>
                </c:pt>
                <c:pt idx="91">
                  <c:v>4.25</c:v>
                </c:pt>
                <c:pt idx="92">
                  <c:v>4.25</c:v>
                </c:pt>
                <c:pt idx="93">
                  <c:v>4.25</c:v>
                </c:pt>
                <c:pt idx="94">
                  <c:v>4.25</c:v>
                </c:pt>
                <c:pt idx="95">
                  <c:v>4.25</c:v>
                </c:pt>
                <c:pt idx="96">
                  <c:v>4.25</c:v>
                </c:pt>
                <c:pt idx="97">
                  <c:v>4.25</c:v>
                </c:pt>
                <c:pt idx="98">
                  <c:v>4.25</c:v>
                </c:pt>
                <c:pt idx="99">
                  <c:v>4.25</c:v>
                </c:pt>
                <c:pt idx="100">
                  <c:v>4.25</c:v>
                </c:pt>
                <c:pt idx="101">
                  <c:v>4.25</c:v>
                </c:pt>
                <c:pt idx="102">
                  <c:v>4.25</c:v>
                </c:pt>
                <c:pt idx="103">
                  <c:v>4.25</c:v>
                </c:pt>
                <c:pt idx="104">
                  <c:v>4.25</c:v>
                </c:pt>
                <c:pt idx="105">
                  <c:v>4.25</c:v>
                </c:pt>
                <c:pt idx="106">
                  <c:v>4.25</c:v>
                </c:pt>
                <c:pt idx="107">
                  <c:v>4.25</c:v>
                </c:pt>
                <c:pt idx="108">
                  <c:v>4.25</c:v>
                </c:pt>
                <c:pt idx="109">
                  <c:v>4.25</c:v>
                </c:pt>
                <c:pt idx="110">
                  <c:v>4.25</c:v>
                </c:pt>
                <c:pt idx="111">
                  <c:v>4.25</c:v>
                </c:pt>
                <c:pt idx="112">
                  <c:v>4.25</c:v>
                </c:pt>
                <c:pt idx="113">
                  <c:v>4.25</c:v>
                </c:pt>
                <c:pt idx="114">
                  <c:v>4.25</c:v>
                </c:pt>
                <c:pt idx="115">
                  <c:v>4.25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3.5</c:v>
                </c:pt>
                <c:pt idx="123">
                  <c:v>3.5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2.5</c:v>
                </c:pt>
                <c:pt idx="130">
                  <c:v>2.5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2.5</c:v>
                </c:pt>
                <c:pt idx="149">
                  <c:v>2.5</c:v>
                </c:pt>
                <c:pt idx="150">
                  <c:v>2.5</c:v>
                </c:pt>
                <c:pt idx="151">
                  <c:v>2.5</c:v>
                </c:pt>
                <c:pt idx="152">
                  <c:v>3.5</c:v>
                </c:pt>
                <c:pt idx="153">
                  <c:v>4.5</c:v>
                </c:pt>
                <c:pt idx="154">
                  <c:v>4.5</c:v>
                </c:pt>
                <c:pt idx="155">
                  <c:v>4.5</c:v>
                </c:pt>
                <c:pt idx="156">
                  <c:v>4.5</c:v>
                </c:pt>
                <c:pt idx="157">
                  <c:v>4.5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8-42BC-B846-31F5F6650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15199"/>
        <c:axId val="2002919024"/>
      </c:lineChart>
      <c:dateAx>
        <c:axId val="51415199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919024"/>
        <c:crosses val="autoZero"/>
        <c:auto val="1"/>
        <c:lblOffset val="100"/>
        <c:baseTimeUnit val="months"/>
      </c:dateAx>
      <c:valAx>
        <c:axId val="20029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'3_Tin_dung_GDP'!$B$1</c:f>
              <c:strCache>
                <c:ptCount val="1"/>
                <c:pt idx="0">
                  <c:v>Dư nợ tín dụng toàn nền KT (tỷ VND)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'3_Tin_dung_GDP'!$A$2:$A$68</c:f>
              <c:numCache>
                <c:formatCode>dd/mm/yyyy</c:formatCode>
                <c:ptCount val="67"/>
                <c:pt idx="0">
                  <c:v>40268</c:v>
                </c:pt>
                <c:pt idx="1">
                  <c:v>40359</c:v>
                </c:pt>
                <c:pt idx="2">
                  <c:v>40451</c:v>
                </c:pt>
                <c:pt idx="3">
                  <c:v>40543</c:v>
                </c:pt>
                <c:pt idx="4">
                  <c:v>40633</c:v>
                </c:pt>
                <c:pt idx="5">
                  <c:v>40724</c:v>
                </c:pt>
                <c:pt idx="6">
                  <c:v>40816</c:v>
                </c:pt>
                <c:pt idx="7">
                  <c:v>40908</c:v>
                </c:pt>
                <c:pt idx="8">
                  <c:v>40999</c:v>
                </c:pt>
                <c:pt idx="9">
                  <c:v>41090</c:v>
                </c:pt>
                <c:pt idx="10">
                  <c:v>41182</c:v>
                </c:pt>
                <c:pt idx="11">
                  <c:v>41274</c:v>
                </c:pt>
                <c:pt idx="12">
                  <c:v>41364</c:v>
                </c:pt>
                <c:pt idx="13">
                  <c:v>41455</c:v>
                </c:pt>
                <c:pt idx="14">
                  <c:v>41547</c:v>
                </c:pt>
                <c:pt idx="15">
                  <c:v>41639</c:v>
                </c:pt>
                <c:pt idx="16">
                  <c:v>41729</c:v>
                </c:pt>
                <c:pt idx="17">
                  <c:v>41820</c:v>
                </c:pt>
                <c:pt idx="18">
                  <c:v>41912</c:v>
                </c:pt>
                <c:pt idx="19">
                  <c:v>42004</c:v>
                </c:pt>
                <c:pt idx="20">
                  <c:v>42094</c:v>
                </c:pt>
                <c:pt idx="21">
                  <c:v>42185</c:v>
                </c:pt>
                <c:pt idx="22">
                  <c:v>42277</c:v>
                </c:pt>
                <c:pt idx="23">
                  <c:v>42369</c:v>
                </c:pt>
                <c:pt idx="24">
                  <c:v>42460</c:v>
                </c:pt>
                <c:pt idx="25">
                  <c:v>42551</c:v>
                </c:pt>
                <c:pt idx="26">
                  <c:v>42643</c:v>
                </c:pt>
                <c:pt idx="27">
                  <c:v>42735</c:v>
                </c:pt>
                <c:pt idx="28">
                  <c:v>42825</c:v>
                </c:pt>
                <c:pt idx="29">
                  <c:v>42916</c:v>
                </c:pt>
                <c:pt idx="30">
                  <c:v>43008</c:v>
                </c:pt>
                <c:pt idx="31">
                  <c:v>43100</c:v>
                </c:pt>
                <c:pt idx="32">
                  <c:v>43190</c:v>
                </c:pt>
                <c:pt idx="33">
                  <c:v>43281</c:v>
                </c:pt>
                <c:pt idx="34">
                  <c:v>43373</c:v>
                </c:pt>
                <c:pt idx="35">
                  <c:v>43465</c:v>
                </c:pt>
                <c:pt idx="36">
                  <c:v>43555</c:v>
                </c:pt>
                <c:pt idx="37">
                  <c:v>43646</c:v>
                </c:pt>
                <c:pt idx="38">
                  <c:v>43738</c:v>
                </c:pt>
                <c:pt idx="39">
                  <c:v>43830</c:v>
                </c:pt>
                <c:pt idx="40">
                  <c:v>43921</c:v>
                </c:pt>
                <c:pt idx="41">
                  <c:v>44012</c:v>
                </c:pt>
                <c:pt idx="42">
                  <c:v>44104</c:v>
                </c:pt>
                <c:pt idx="43">
                  <c:v>44196</c:v>
                </c:pt>
                <c:pt idx="44">
                  <c:v>44286</c:v>
                </c:pt>
                <c:pt idx="45">
                  <c:v>44377</c:v>
                </c:pt>
                <c:pt idx="46">
                  <c:v>44469</c:v>
                </c:pt>
                <c:pt idx="47">
                  <c:v>44561</c:v>
                </c:pt>
                <c:pt idx="48">
                  <c:v>44651</c:v>
                </c:pt>
                <c:pt idx="49">
                  <c:v>44742</c:v>
                </c:pt>
                <c:pt idx="50">
                  <c:v>44834</c:v>
                </c:pt>
                <c:pt idx="51">
                  <c:v>44926</c:v>
                </c:pt>
                <c:pt idx="52">
                  <c:v>45016</c:v>
                </c:pt>
                <c:pt idx="53">
                  <c:v>45107</c:v>
                </c:pt>
                <c:pt idx="54">
                  <c:v>45199</c:v>
                </c:pt>
                <c:pt idx="55">
                  <c:v>45291</c:v>
                </c:pt>
                <c:pt idx="56">
                  <c:v>45382</c:v>
                </c:pt>
                <c:pt idx="57">
                  <c:v>45473</c:v>
                </c:pt>
                <c:pt idx="58">
                  <c:v>45565</c:v>
                </c:pt>
                <c:pt idx="59">
                  <c:v>45657</c:v>
                </c:pt>
                <c:pt idx="60">
                  <c:v>45747</c:v>
                </c:pt>
                <c:pt idx="61">
                  <c:v>45838</c:v>
                </c:pt>
                <c:pt idx="62">
                  <c:v>45930</c:v>
                </c:pt>
                <c:pt idx="63">
                  <c:v>46022</c:v>
                </c:pt>
                <c:pt idx="64">
                  <c:v>46112</c:v>
                </c:pt>
                <c:pt idx="65">
                  <c:v>46203</c:v>
                </c:pt>
                <c:pt idx="66">
                  <c:v>46295</c:v>
                </c:pt>
              </c:numCache>
            </c:numRef>
          </c:cat>
          <c:val>
            <c:numRef>
              <c:f>'3_Tin_dung_GDP'!$B$2:$B$68</c:f>
              <c:numCache>
                <c:formatCode>#,##0</c:formatCode>
                <c:ptCount val="67"/>
                <c:pt idx="0">
                  <c:v>1998111</c:v>
                </c:pt>
                <c:pt idx="1">
                  <c:v>2136551</c:v>
                </c:pt>
                <c:pt idx="2">
                  <c:v>2310569</c:v>
                </c:pt>
                <c:pt idx="3">
                  <c:v>2511463</c:v>
                </c:pt>
                <c:pt idx="4">
                  <c:v>2637036</c:v>
                </c:pt>
                <c:pt idx="5">
                  <c:v>2685256</c:v>
                </c:pt>
                <c:pt idx="6">
                  <c:v>2716398</c:v>
                </c:pt>
                <c:pt idx="7">
                  <c:v>2785213</c:v>
                </c:pt>
                <c:pt idx="8">
                  <c:v>2813333</c:v>
                </c:pt>
                <c:pt idx="9">
                  <c:v>2887697</c:v>
                </c:pt>
                <c:pt idx="10">
                  <c:v>2915695</c:v>
                </c:pt>
                <c:pt idx="11">
                  <c:v>3090904</c:v>
                </c:pt>
                <c:pt idx="12">
                  <c:v>3127145</c:v>
                </c:pt>
                <c:pt idx="13">
                  <c:v>3236786</c:v>
                </c:pt>
                <c:pt idx="14">
                  <c:v>3303252</c:v>
                </c:pt>
                <c:pt idx="15">
                  <c:v>3477985</c:v>
                </c:pt>
                <c:pt idx="16">
                  <c:v>3496178</c:v>
                </c:pt>
                <c:pt idx="17">
                  <c:v>3607354</c:v>
                </c:pt>
                <c:pt idx="18">
                  <c:v>3734181</c:v>
                </c:pt>
                <c:pt idx="19">
                  <c:v>3970548</c:v>
                </c:pt>
                <c:pt idx="20">
                  <c:v>4075612</c:v>
                </c:pt>
                <c:pt idx="21">
                  <c:v>4282604</c:v>
                </c:pt>
                <c:pt idx="22">
                  <c:v>4451893</c:v>
                </c:pt>
                <c:pt idx="23">
                  <c:v>4655890</c:v>
                </c:pt>
                <c:pt idx="24">
                  <c:v>4797202</c:v>
                </c:pt>
                <c:pt idx="25">
                  <c:v>5037936</c:v>
                </c:pt>
                <c:pt idx="26">
                  <c:v>5198026</c:v>
                </c:pt>
                <c:pt idx="27">
                  <c:v>5505406</c:v>
                </c:pt>
                <c:pt idx="28">
                  <c:v>5746188</c:v>
                </c:pt>
                <c:pt idx="29">
                  <c:v>6001383</c:v>
                </c:pt>
                <c:pt idx="30">
                  <c:v>6177691</c:v>
                </c:pt>
                <c:pt idx="31">
                  <c:v>6329715</c:v>
                </c:pt>
                <c:pt idx="32">
                  <c:v>6555278</c:v>
                </c:pt>
                <c:pt idx="33">
                  <c:v>6827140.3300000001</c:v>
                </c:pt>
                <c:pt idx="34">
                  <c:v>6985654</c:v>
                </c:pt>
                <c:pt idx="35">
                  <c:v>7375669.1100000003</c:v>
                </c:pt>
                <c:pt idx="36">
                  <c:v>7437086</c:v>
                </c:pt>
                <c:pt idx="37">
                  <c:v>7742083</c:v>
                </c:pt>
                <c:pt idx="38">
                  <c:v>7888910</c:v>
                </c:pt>
                <c:pt idx="39">
                  <c:v>8195393</c:v>
                </c:pt>
                <c:pt idx="40">
                  <c:v>8302412</c:v>
                </c:pt>
                <c:pt idx="41">
                  <c:v>8494504</c:v>
                </c:pt>
                <c:pt idx="42">
                  <c:v>8694050</c:v>
                </c:pt>
                <c:pt idx="43">
                  <c:v>9192566</c:v>
                </c:pt>
                <c:pt idx="44">
                  <c:v>9463868</c:v>
                </c:pt>
                <c:pt idx="45">
                  <c:v>9784937</c:v>
                </c:pt>
                <c:pt idx="46">
                  <c:v>9917032</c:v>
                </c:pt>
                <c:pt idx="47">
                  <c:v>10444078</c:v>
                </c:pt>
                <c:pt idx="48">
                  <c:v>11067407.98</c:v>
                </c:pt>
                <c:pt idx="49">
                  <c:v>11428653.23</c:v>
                </c:pt>
                <c:pt idx="50">
                  <c:v>11597310.32</c:v>
                </c:pt>
                <c:pt idx="51">
                  <c:v>11924433.609999999</c:v>
                </c:pt>
                <c:pt idx="52">
                  <c:v>12231723.640000001</c:v>
                </c:pt>
                <c:pt idx="53">
                  <c:v>12487912.51</c:v>
                </c:pt>
                <c:pt idx="54">
                  <c:v>12754669.119999999</c:v>
                </c:pt>
                <c:pt idx="55">
                  <c:v>13568977.92</c:v>
                </c:pt>
                <c:pt idx="56">
                  <c:v>13761415.869999999</c:v>
                </c:pt>
                <c:pt idx="57">
                  <c:v>14396261.98</c:v>
                </c:pt>
                <c:pt idx="58">
                  <c:v>14805563.369999999</c:v>
                </c:pt>
                <c:pt idx="59">
                  <c:v>15616213.73</c:v>
                </c:pt>
                <c:pt idx="60">
                  <c:v>16226458.02</c:v>
                </c:pt>
                <c:pt idx="61">
                  <c:v>17163138.399999999</c:v>
                </c:pt>
                <c:pt idx="62">
                  <c:v>17780620.952978</c:v>
                </c:pt>
                <c:pt idx="63">
                  <c:v>18815882</c:v>
                </c:pt>
                <c:pt idx="64">
                  <c:v>19186824</c:v>
                </c:pt>
                <c:pt idx="65">
                  <c:v>19703851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7-4906-A8A7-3E5B7F536933}"/>
            </c:ext>
          </c:extLst>
        </c:ser>
        <c:ser>
          <c:idx val="1"/>
          <c:order val="1"/>
          <c:tx>
            <c:strRef>
              <c:f>'3_Tin_dung_GDP'!$C$1</c:f>
              <c:strCache>
                <c:ptCount val="1"/>
                <c:pt idx="0">
                  <c:v>GDP danh nghĩa 4 quý gần nhất (tỷ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'3_Tin_dung_GDP'!$A$2:$A$68</c:f>
              <c:numCache>
                <c:formatCode>dd/mm/yyyy</c:formatCode>
                <c:ptCount val="67"/>
                <c:pt idx="0">
                  <c:v>40268</c:v>
                </c:pt>
                <c:pt idx="1">
                  <c:v>40359</c:v>
                </c:pt>
                <c:pt idx="2">
                  <c:v>40451</c:v>
                </c:pt>
                <c:pt idx="3">
                  <c:v>40543</c:v>
                </c:pt>
                <c:pt idx="4">
                  <c:v>40633</c:v>
                </c:pt>
                <c:pt idx="5">
                  <c:v>40724</c:v>
                </c:pt>
                <c:pt idx="6">
                  <c:v>40816</c:v>
                </c:pt>
                <c:pt idx="7">
                  <c:v>40908</c:v>
                </c:pt>
                <c:pt idx="8">
                  <c:v>40999</c:v>
                </c:pt>
                <c:pt idx="9">
                  <c:v>41090</c:v>
                </c:pt>
                <c:pt idx="10">
                  <c:v>41182</c:v>
                </c:pt>
                <c:pt idx="11">
                  <c:v>41274</c:v>
                </c:pt>
                <c:pt idx="12">
                  <c:v>41364</c:v>
                </c:pt>
                <c:pt idx="13">
                  <c:v>41455</c:v>
                </c:pt>
                <c:pt idx="14">
                  <c:v>41547</c:v>
                </c:pt>
                <c:pt idx="15">
                  <c:v>41639</c:v>
                </c:pt>
                <c:pt idx="16">
                  <c:v>41729</c:v>
                </c:pt>
                <c:pt idx="17">
                  <c:v>41820</c:v>
                </c:pt>
                <c:pt idx="18">
                  <c:v>41912</c:v>
                </c:pt>
                <c:pt idx="19">
                  <c:v>42004</c:v>
                </c:pt>
                <c:pt idx="20">
                  <c:v>42094</c:v>
                </c:pt>
                <c:pt idx="21">
                  <c:v>42185</c:v>
                </c:pt>
                <c:pt idx="22">
                  <c:v>42277</c:v>
                </c:pt>
                <c:pt idx="23">
                  <c:v>42369</c:v>
                </c:pt>
                <c:pt idx="24">
                  <c:v>42460</c:v>
                </c:pt>
                <c:pt idx="25">
                  <c:v>42551</c:v>
                </c:pt>
                <c:pt idx="26">
                  <c:v>42643</c:v>
                </c:pt>
                <c:pt idx="27">
                  <c:v>42735</c:v>
                </c:pt>
                <c:pt idx="28">
                  <c:v>42825</c:v>
                </c:pt>
                <c:pt idx="29">
                  <c:v>42916</c:v>
                </c:pt>
                <c:pt idx="30">
                  <c:v>43008</c:v>
                </c:pt>
                <c:pt idx="31">
                  <c:v>43100</c:v>
                </c:pt>
                <c:pt idx="32">
                  <c:v>43190</c:v>
                </c:pt>
                <c:pt idx="33">
                  <c:v>43281</c:v>
                </c:pt>
                <c:pt idx="34">
                  <c:v>43373</c:v>
                </c:pt>
                <c:pt idx="35">
                  <c:v>43465</c:v>
                </c:pt>
                <c:pt idx="36">
                  <c:v>43555</c:v>
                </c:pt>
                <c:pt idx="37">
                  <c:v>43646</c:v>
                </c:pt>
                <c:pt idx="38">
                  <c:v>43738</c:v>
                </c:pt>
                <c:pt idx="39">
                  <c:v>43830</c:v>
                </c:pt>
                <c:pt idx="40">
                  <c:v>43921</c:v>
                </c:pt>
                <c:pt idx="41">
                  <c:v>44012</c:v>
                </c:pt>
                <c:pt idx="42">
                  <c:v>44104</c:v>
                </c:pt>
                <c:pt idx="43">
                  <c:v>44196</c:v>
                </c:pt>
                <c:pt idx="44">
                  <c:v>44286</c:v>
                </c:pt>
                <c:pt idx="45">
                  <c:v>44377</c:v>
                </c:pt>
                <c:pt idx="46">
                  <c:v>44469</c:v>
                </c:pt>
                <c:pt idx="47">
                  <c:v>44561</c:v>
                </c:pt>
                <c:pt idx="48">
                  <c:v>44651</c:v>
                </c:pt>
                <c:pt idx="49">
                  <c:v>44742</c:v>
                </c:pt>
                <c:pt idx="50">
                  <c:v>44834</c:v>
                </c:pt>
                <c:pt idx="51">
                  <c:v>44926</c:v>
                </c:pt>
                <c:pt idx="52">
                  <c:v>45016</c:v>
                </c:pt>
                <c:pt idx="53">
                  <c:v>45107</c:v>
                </c:pt>
                <c:pt idx="54">
                  <c:v>45199</c:v>
                </c:pt>
                <c:pt idx="55">
                  <c:v>45291</c:v>
                </c:pt>
                <c:pt idx="56">
                  <c:v>45382</c:v>
                </c:pt>
                <c:pt idx="57">
                  <c:v>45473</c:v>
                </c:pt>
                <c:pt idx="58">
                  <c:v>45565</c:v>
                </c:pt>
                <c:pt idx="59">
                  <c:v>45657</c:v>
                </c:pt>
                <c:pt idx="60">
                  <c:v>45747</c:v>
                </c:pt>
                <c:pt idx="61">
                  <c:v>45838</c:v>
                </c:pt>
                <c:pt idx="62">
                  <c:v>45930</c:v>
                </c:pt>
                <c:pt idx="63">
                  <c:v>46022</c:v>
                </c:pt>
                <c:pt idx="64">
                  <c:v>46112</c:v>
                </c:pt>
                <c:pt idx="65">
                  <c:v>46203</c:v>
                </c:pt>
                <c:pt idx="66">
                  <c:v>46295</c:v>
                </c:pt>
              </c:numCache>
            </c:numRef>
          </c:cat>
          <c:val>
            <c:numRef>
              <c:f>'3_Tin_dung_GDP'!$C$2:$C$68</c:f>
              <c:numCache>
                <c:formatCode>#,##0</c:formatCode>
                <c:ptCount val="67"/>
                <c:pt idx="0">
                  <c:v>2157828.4967716201</c:v>
                </c:pt>
                <c:pt idx="1">
                  <c:v>2157828.4967716201</c:v>
                </c:pt>
                <c:pt idx="2">
                  <c:v>2157828.4967716201</c:v>
                </c:pt>
                <c:pt idx="3">
                  <c:v>2157828.4967716201</c:v>
                </c:pt>
                <c:pt idx="4">
                  <c:v>2251256.3661557739</c:v>
                </c:pt>
                <c:pt idx="5">
                  <c:v>2385383.0871762112</c:v>
                </c:pt>
                <c:pt idx="6">
                  <c:v>2547506.6401209151</c:v>
                </c:pt>
                <c:pt idx="7">
                  <c:v>2779880.2360245702</c:v>
                </c:pt>
                <c:pt idx="8">
                  <c:v>2899979.305480578</c:v>
                </c:pt>
                <c:pt idx="9">
                  <c:v>3000772.4953939579</c:v>
                </c:pt>
                <c:pt idx="10">
                  <c:v>3094479.3966024132</c:v>
                </c:pt>
                <c:pt idx="11">
                  <c:v>3245419.2270855559</c:v>
                </c:pt>
                <c:pt idx="12">
                  <c:v>3301941.8894925192</c:v>
                </c:pt>
                <c:pt idx="13">
                  <c:v>3371526.7130114669</c:v>
                </c:pt>
                <c:pt idx="14">
                  <c:v>3477682.7326188809</c:v>
                </c:pt>
                <c:pt idx="15">
                  <c:v>3584261.592123501</c:v>
                </c:pt>
                <c:pt idx="16">
                  <c:v>3658809.5161837842</c:v>
                </c:pt>
                <c:pt idx="17">
                  <c:v>3739605.4616392641</c:v>
                </c:pt>
                <c:pt idx="18">
                  <c:v>3834879.0115556591</c:v>
                </c:pt>
                <c:pt idx="19">
                  <c:v>3937856.083149279</c:v>
                </c:pt>
                <c:pt idx="20">
                  <c:v>3989899.77717569</c:v>
                </c:pt>
                <c:pt idx="21">
                  <c:v>4048409.9329256848</c:v>
                </c:pt>
                <c:pt idx="22">
                  <c:v>4118689.1468191352</c:v>
                </c:pt>
                <c:pt idx="23">
                  <c:v>4192862.3089537751</c:v>
                </c:pt>
                <c:pt idx="24">
                  <c:v>4233710.303625769</c:v>
                </c:pt>
                <c:pt idx="25">
                  <c:v>4294811.8509231899</c:v>
                </c:pt>
                <c:pt idx="26">
                  <c:v>4380578.19141257</c:v>
                </c:pt>
                <c:pt idx="27">
                  <c:v>4502732.9894691398</c:v>
                </c:pt>
                <c:pt idx="28">
                  <c:v>4584102.2789615951</c:v>
                </c:pt>
                <c:pt idx="29">
                  <c:v>4681700.8597293552</c:v>
                </c:pt>
                <c:pt idx="30">
                  <c:v>4793816.9290197352</c:v>
                </c:pt>
                <c:pt idx="31">
                  <c:v>5005975.4874280747</c:v>
                </c:pt>
                <c:pt idx="32">
                  <c:v>5102762.5292079598</c:v>
                </c:pt>
                <c:pt idx="33">
                  <c:v>5216111.9176300699</c:v>
                </c:pt>
                <c:pt idx="34">
                  <c:v>5358184.5480633993</c:v>
                </c:pt>
                <c:pt idx="35">
                  <c:v>5542331.87040981</c:v>
                </c:pt>
                <c:pt idx="36">
                  <c:v>5631732.8658042001</c:v>
                </c:pt>
                <c:pt idx="37">
                  <c:v>5756427.9883195106</c:v>
                </c:pt>
                <c:pt idx="38">
                  <c:v>5885452.9547654707</c:v>
                </c:pt>
                <c:pt idx="39">
                  <c:v>6037347.630702721</c:v>
                </c:pt>
                <c:pt idx="40">
                  <c:v>6112813.7330292603</c:v>
                </c:pt>
                <c:pt idx="41">
                  <c:v>6128632.0311987996</c:v>
                </c:pt>
                <c:pt idx="42">
                  <c:v>6182524.3681988101</c:v>
                </c:pt>
                <c:pt idx="43">
                  <c:v>6293051.9076912198</c:v>
                </c:pt>
                <c:pt idx="44">
                  <c:v>7063324.7767347004</c:v>
                </c:pt>
                <c:pt idx="45">
                  <c:v>7719521.7670033798</c:v>
                </c:pt>
                <c:pt idx="46">
                  <c:v>8121015.9901939407</c:v>
                </c:pt>
                <c:pt idx="47">
                  <c:v>8398606.2200859208</c:v>
                </c:pt>
                <c:pt idx="48">
                  <c:v>8572261.5862080716</c:v>
                </c:pt>
                <c:pt idx="49">
                  <c:v>8825126.3857020605</c:v>
                </c:pt>
                <c:pt idx="50">
                  <c:v>9206730.4586370606</c:v>
                </c:pt>
                <c:pt idx="51">
                  <c:v>9476856.656995276</c:v>
                </c:pt>
                <c:pt idx="52">
                  <c:v>9636276.6075281277</c:v>
                </c:pt>
                <c:pt idx="53">
                  <c:v>9789880.9359201062</c:v>
                </c:pt>
                <c:pt idx="54">
                  <c:v>9966516.3271872979</c:v>
                </c:pt>
                <c:pt idx="55">
                  <c:v>10218572.491890609</c:v>
                </c:pt>
                <c:pt idx="56">
                  <c:v>10439375.88177513</c:v>
                </c:pt>
                <c:pt idx="57">
                  <c:v>10725912.347523451</c:v>
                </c:pt>
                <c:pt idx="58">
                  <c:v>11065975.07861059</c:v>
                </c:pt>
                <c:pt idx="59">
                  <c:v>11442195.583716709</c:v>
                </c:pt>
                <c:pt idx="60">
                  <c:v>11734081.158466</c:v>
                </c:pt>
                <c:pt idx="61">
                  <c:v>12101559.853662411</c:v>
                </c:pt>
                <c:pt idx="62">
                  <c:v>12443668.07929224</c:v>
                </c:pt>
                <c:pt idx="63">
                  <c:v>12857155.370514121</c:v>
                </c:pt>
                <c:pt idx="64">
                  <c:v>13191611.39719077</c:v>
                </c:pt>
                <c:pt idx="65">
                  <c:v>13571466.801683851</c:v>
                </c:pt>
                <c:pt idx="66" formatCode="_(* #,##0_);_(* \(#,##0\);_(* &quot;-&quot;??_);_(@_)">
                  <c:v>14058000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7-4906-A8A7-3E5B7F536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78767"/>
        <c:axId val="2003036624"/>
      </c:barChart>
      <c:lineChart>
        <c:grouping val="standard"/>
        <c:varyColors val="0"/>
        <c:ser>
          <c:idx val="2"/>
          <c:order val="2"/>
          <c:tx>
            <c:strRef>
              <c:f>'3_Tin_dung_GDP'!$D$1</c:f>
              <c:strCache>
                <c:ptCount val="1"/>
                <c:pt idx="0">
                  <c:v>Tín dụng/ GDP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'3_Tin_dung_GDP'!$A$2:$A$68</c:f>
              <c:numCache>
                <c:formatCode>dd/mm/yyyy</c:formatCode>
                <c:ptCount val="67"/>
                <c:pt idx="0">
                  <c:v>40268</c:v>
                </c:pt>
                <c:pt idx="1">
                  <c:v>40359</c:v>
                </c:pt>
                <c:pt idx="2">
                  <c:v>40451</c:v>
                </c:pt>
                <c:pt idx="3">
                  <c:v>40543</c:v>
                </c:pt>
                <c:pt idx="4">
                  <c:v>40633</c:v>
                </c:pt>
                <c:pt idx="5">
                  <c:v>40724</c:v>
                </c:pt>
                <c:pt idx="6">
                  <c:v>40816</c:v>
                </c:pt>
                <c:pt idx="7">
                  <c:v>40908</c:v>
                </c:pt>
                <c:pt idx="8">
                  <c:v>40999</c:v>
                </c:pt>
                <c:pt idx="9">
                  <c:v>41090</c:v>
                </c:pt>
                <c:pt idx="10">
                  <c:v>41182</c:v>
                </c:pt>
                <c:pt idx="11">
                  <c:v>41274</c:v>
                </c:pt>
                <c:pt idx="12">
                  <c:v>41364</c:v>
                </c:pt>
                <c:pt idx="13">
                  <c:v>41455</c:v>
                </c:pt>
                <c:pt idx="14">
                  <c:v>41547</c:v>
                </c:pt>
                <c:pt idx="15">
                  <c:v>41639</c:v>
                </c:pt>
                <c:pt idx="16">
                  <c:v>41729</c:v>
                </c:pt>
                <c:pt idx="17">
                  <c:v>41820</c:v>
                </c:pt>
                <c:pt idx="18">
                  <c:v>41912</c:v>
                </c:pt>
                <c:pt idx="19">
                  <c:v>42004</c:v>
                </c:pt>
                <c:pt idx="20">
                  <c:v>42094</c:v>
                </c:pt>
                <c:pt idx="21">
                  <c:v>42185</c:v>
                </c:pt>
                <c:pt idx="22">
                  <c:v>42277</c:v>
                </c:pt>
                <c:pt idx="23">
                  <c:v>42369</c:v>
                </c:pt>
                <c:pt idx="24">
                  <c:v>42460</c:v>
                </c:pt>
                <c:pt idx="25">
                  <c:v>42551</c:v>
                </c:pt>
                <c:pt idx="26">
                  <c:v>42643</c:v>
                </c:pt>
                <c:pt idx="27">
                  <c:v>42735</c:v>
                </c:pt>
                <c:pt idx="28">
                  <c:v>42825</c:v>
                </c:pt>
                <c:pt idx="29">
                  <c:v>42916</c:v>
                </c:pt>
                <c:pt idx="30">
                  <c:v>43008</c:v>
                </c:pt>
                <c:pt idx="31">
                  <c:v>43100</c:v>
                </c:pt>
                <c:pt idx="32">
                  <c:v>43190</c:v>
                </c:pt>
                <c:pt idx="33">
                  <c:v>43281</c:v>
                </c:pt>
                <c:pt idx="34">
                  <c:v>43373</c:v>
                </c:pt>
                <c:pt idx="35">
                  <c:v>43465</c:v>
                </c:pt>
                <c:pt idx="36">
                  <c:v>43555</c:v>
                </c:pt>
                <c:pt idx="37">
                  <c:v>43646</c:v>
                </c:pt>
                <c:pt idx="38">
                  <c:v>43738</c:v>
                </c:pt>
                <c:pt idx="39">
                  <c:v>43830</c:v>
                </c:pt>
                <c:pt idx="40">
                  <c:v>43921</c:v>
                </c:pt>
                <c:pt idx="41">
                  <c:v>44012</c:v>
                </c:pt>
                <c:pt idx="42">
                  <c:v>44104</c:v>
                </c:pt>
                <c:pt idx="43">
                  <c:v>44196</c:v>
                </c:pt>
                <c:pt idx="44">
                  <c:v>44286</c:v>
                </c:pt>
                <c:pt idx="45">
                  <c:v>44377</c:v>
                </c:pt>
                <c:pt idx="46">
                  <c:v>44469</c:v>
                </c:pt>
                <c:pt idx="47">
                  <c:v>44561</c:v>
                </c:pt>
                <c:pt idx="48">
                  <c:v>44651</c:v>
                </c:pt>
                <c:pt idx="49">
                  <c:v>44742</c:v>
                </c:pt>
                <c:pt idx="50">
                  <c:v>44834</c:v>
                </c:pt>
                <c:pt idx="51">
                  <c:v>44926</c:v>
                </c:pt>
                <c:pt idx="52">
                  <c:v>45016</c:v>
                </c:pt>
                <c:pt idx="53">
                  <c:v>45107</c:v>
                </c:pt>
                <c:pt idx="54">
                  <c:v>45199</c:v>
                </c:pt>
                <c:pt idx="55">
                  <c:v>45291</c:v>
                </c:pt>
                <c:pt idx="56">
                  <c:v>45382</c:v>
                </c:pt>
                <c:pt idx="57">
                  <c:v>45473</c:v>
                </c:pt>
                <c:pt idx="58">
                  <c:v>45565</c:v>
                </c:pt>
                <c:pt idx="59">
                  <c:v>45657</c:v>
                </c:pt>
                <c:pt idx="60">
                  <c:v>45747</c:v>
                </c:pt>
                <c:pt idx="61">
                  <c:v>45838</c:v>
                </c:pt>
                <c:pt idx="62">
                  <c:v>45930</c:v>
                </c:pt>
                <c:pt idx="63">
                  <c:v>46022</c:v>
                </c:pt>
                <c:pt idx="64">
                  <c:v>46112</c:v>
                </c:pt>
                <c:pt idx="65">
                  <c:v>46203</c:v>
                </c:pt>
                <c:pt idx="66">
                  <c:v>46295</c:v>
                </c:pt>
              </c:numCache>
            </c:numRef>
          </c:cat>
          <c:val>
            <c:numRef>
              <c:f>'3_Tin_dung_GDP'!$D$2:$D$68</c:f>
              <c:numCache>
                <c:formatCode>0%</c:formatCode>
                <c:ptCount val="67"/>
                <c:pt idx="0">
                  <c:v>0.92598230257382486</c:v>
                </c:pt>
                <c:pt idx="1">
                  <c:v>0.99013939393077166</c:v>
                </c:pt>
                <c:pt idx="2">
                  <c:v>1.0707843572632851</c:v>
                </c:pt>
                <c:pt idx="3">
                  <c:v>1.1638844346329937</c:v>
                </c:pt>
                <c:pt idx="4">
                  <c:v>1.171361929118264</c:v>
                </c:pt>
                <c:pt idx="5">
                  <c:v>1.1257126850759955</c:v>
                </c:pt>
                <c:pt idx="6">
                  <c:v>1.0662967299944186</c:v>
                </c:pt>
                <c:pt idx="7">
                  <c:v>1.0019183430661229</c:v>
                </c:pt>
                <c:pt idx="8">
                  <c:v>0.97012175041496751</c:v>
                </c:pt>
                <c:pt idx="9">
                  <c:v>0.96231787129230106</c:v>
                </c:pt>
                <c:pt idx="10">
                  <c:v>0.94222472549059155</c:v>
                </c:pt>
                <c:pt idx="11">
                  <c:v>0.95238974804980336</c:v>
                </c:pt>
                <c:pt idx="12">
                  <c:v>0.94706239681299054</c:v>
                </c:pt>
                <c:pt idx="13">
                  <c:v>0.96003569762877072</c:v>
                </c:pt>
                <c:pt idx="14">
                  <c:v>0.94984282752914462</c:v>
                </c:pt>
                <c:pt idx="15">
                  <c:v>0.97034909718725715</c:v>
                </c:pt>
                <c:pt idx="16">
                  <c:v>0.95555070154255739</c:v>
                </c:pt>
                <c:pt idx="17">
                  <c:v>0.96463491590332329</c:v>
                </c:pt>
                <c:pt idx="18">
                  <c:v>0.97374154145353076</c:v>
                </c:pt>
                <c:pt idx="19">
                  <c:v>1.0083019582636894</c:v>
                </c:pt>
                <c:pt idx="20">
                  <c:v>1.0214822997095387</c:v>
                </c:pt>
                <c:pt idx="21">
                  <c:v>1.0578484073881986</c:v>
                </c:pt>
                <c:pt idx="22">
                  <c:v>1.0809004616039544</c:v>
                </c:pt>
                <c:pt idx="23">
                  <c:v>1.1104323626505546</c:v>
                </c:pt>
                <c:pt idx="24">
                  <c:v>1.133096422750431</c:v>
                </c:pt>
                <c:pt idx="25">
                  <c:v>1.1730283362511147</c:v>
                </c:pt>
                <c:pt idx="26">
                  <c:v>1.1866072862687185</c:v>
                </c:pt>
                <c:pt idx="27">
                  <c:v>1.2226809834995507</c:v>
                </c:pt>
                <c:pt idx="28">
                  <c:v>1.2535034452376232</c:v>
                </c:pt>
                <c:pt idx="29">
                  <c:v>1.28188091888189</c:v>
                </c:pt>
                <c:pt idx="30">
                  <c:v>1.2886789569711929</c:v>
                </c:pt>
                <c:pt idx="31">
                  <c:v>1.2644318806387174</c:v>
                </c:pt>
                <c:pt idx="32">
                  <c:v>1.2846527665118479</c:v>
                </c:pt>
                <c:pt idx="33">
                  <c:v>1.3088561821161802</c:v>
                </c:pt>
                <c:pt idx="34">
                  <c:v>1.3037352366903479</c:v>
                </c:pt>
                <c:pt idx="35">
                  <c:v>1.3307880658280808</c:v>
                </c:pt>
                <c:pt idx="36">
                  <c:v>1.3205679632210323</c:v>
                </c:pt>
                <c:pt idx="37">
                  <c:v>1.3449456877962556</c:v>
                </c:pt>
                <c:pt idx="38">
                  <c:v>1.3404083017284716</c:v>
                </c:pt>
                <c:pt idx="39">
                  <c:v>1.3574492477992512</c:v>
                </c:pt>
                <c:pt idx="40">
                  <c:v>1.3581981003510251</c:v>
                </c:pt>
                <c:pt idx="41">
                  <c:v>1.3860358978573593</c:v>
                </c:pt>
                <c:pt idx="42">
                  <c:v>1.4062297990639196</c:v>
                </c:pt>
                <c:pt idx="43">
                  <c:v>1.460748478614178</c:v>
                </c:pt>
                <c:pt idx="44">
                  <c:v>1.3398602356743172</c:v>
                </c:pt>
                <c:pt idx="45">
                  <c:v>1.2675574077431986</c:v>
                </c:pt>
                <c:pt idx="46">
                  <c:v>1.2211565661211274</c:v>
                </c:pt>
                <c:pt idx="47">
                  <c:v>1.2435489563759012</c:v>
                </c:pt>
                <c:pt idx="48">
                  <c:v>1.2910721247478465</c:v>
                </c:pt>
                <c:pt idx="49">
                  <c:v>1.2950129811756597</c:v>
                </c:pt>
                <c:pt idx="50">
                  <c:v>1.2596556803854595</c:v>
                </c:pt>
                <c:pt idx="51">
                  <c:v>1.2582688587146733</c:v>
                </c:pt>
                <c:pt idx="52">
                  <c:v>1.2693412754926769</c:v>
                </c:pt>
                <c:pt idx="53">
                  <c:v>1.2755939108697973</c:v>
                </c:pt>
                <c:pt idx="54">
                  <c:v>1.2797519916971389</c:v>
                </c:pt>
                <c:pt idx="55">
                  <c:v>1.3278741165430152</c:v>
                </c:pt>
                <c:pt idx="56">
                  <c:v>1.3182220877805948</c:v>
                </c:pt>
                <c:pt idx="57">
                  <c:v>1.3421946323590843</c:v>
                </c:pt>
                <c:pt idx="58">
                  <c:v>1.3379357232258415</c:v>
                </c:pt>
                <c:pt idx="59">
                  <c:v>1.3647917146446353</c:v>
                </c:pt>
                <c:pt idx="60">
                  <c:v>1.3828486270774429</c:v>
                </c:pt>
                <c:pt idx="61">
                  <c:v>1.41825835739727</c:v>
                </c:pt>
                <c:pt idx="62">
                  <c:v>1.4288890413725428</c:v>
                </c:pt>
                <c:pt idx="63">
                  <c:v>1.4634560645624062</c:v>
                </c:pt>
                <c:pt idx="64">
                  <c:v>1.4544715897320888</c:v>
                </c:pt>
                <c:pt idx="65">
                  <c:v>1.4518586154265423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37-4906-A8A7-3E5B7F536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49759"/>
        <c:axId val="2003026544"/>
      </c:lineChart>
      <c:dateAx>
        <c:axId val="51478767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36624"/>
        <c:crosses val="autoZero"/>
        <c:auto val="1"/>
        <c:lblOffset val="100"/>
        <c:baseTimeUnit val="months"/>
      </c:dateAx>
      <c:valAx>
        <c:axId val="20030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8767"/>
        <c:crosses val="autoZero"/>
        <c:crossBetween val="between"/>
      </c:valAx>
      <c:valAx>
        <c:axId val="20030265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9759"/>
        <c:crosses val="max"/>
        <c:crossBetween val="between"/>
      </c:valAx>
      <c:dateAx>
        <c:axId val="51549759"/>
        <c:scaling>
          <c:orientation val="minMax"/>
        </c:scaling>
        <c:delete val="1"/>
        <c:axPos val="b"/>
        <c:numFmt formatCode="dd/mm/yyyy" sourceLinked="1"/>
        <c:majorTickMark val="out"/>
        <c:minorTickMark val="none"/>
        <c:tickLblPos val="nextTo"/>
        <c:crossAx val="200302654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Cán</a:t>
            </a:r>
            <a:r>
              <a:rPr lang="en-US" baseline="0"/>
              <a:t> cân thương mại và dự trữ ngoại hối Việt Nam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'4_Du_tru_XNK_Quy'!$B$1</c:f>
              <c:strCache>
                <c:ptCount val="1"/>
                <c:pt idx="0">
                  <c:v>Xuất khẩu quý (tỷ 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'4_Du_tru_XNK_Quy'!$A$2:$A$67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cat>
          <c:val>
            <c:numRef>
              <c:f>'4_Du_tru_XNK_Quy'!$B$2:$B$67</c:f>
              <c:numCache>
                <c:formatCode>#,##0.00;\(#,##0.00\);\-</c:formatCode>
                <c:ptCount val="66"/>
                <c:pt idx="0">
                  <c:v>14.394233999999999</c:v>
                </c:pt>
                <c:pt idx="1">
                  <c:v>18.091343000000002</c:v>
                </c:pt>
                <c:pt idx="2">
                  <c:v>19.216424</c:v>
                </c:pt>
                <c:pt idx="3">
                  <c:v>20.534663999999999</c:v>
                </c:pt>
                <c:pt idx="4">
                  <c:v>19.966538</c:v>
                </c:pt>
                <c:pt idx="5">
                  <c:v>23.495016</c:v>
                </c:pt>
                <c:pt idx="6">
                  <c:v>27.007232999999999</c:v>
                </c:pt>
                <c:pt idx="7">
                  <c:v>26.436886999999999</c:v>
                </c:pt>
                <c:pt idx="8">
                  <c:v>24.853782000000002</c:v>
                </c:pt>
                <c:pt idx="9">
                  <c:v>28.594867000000001</c:v>
                </c:pt>
                <c:pt idx="10">
                  <c:v>29.936302999999999</c:v>
                </c:pt>
                <c:pt idx="11">
                  <c:v>31.144217999999999</c:v>
                </c:pt>
                <c:pt idx="12">
                  <c:v>29.207913999999999</c:v>
                </c:pt>
                <c:pt idx="13">
                  <c:v>32.479469999999999</c:v>
                </c:pt>
                <c:pt idx="14">
                  <c:v>34.354759999999999</c:v>
                </c:pt>
                <c:pt idx="15">
                  <c:v>35.99071</c:v>
                </c:pt>
                <c:pt idx="16">
                  <c:v>33.383896999999997</c:v>
                </c:pt>
                <c:pt idx="17">
                  <c:v>37.777819000000001</c:v>
                </c:pt>
                <c:pt idx="18">
                  <c:v>38.920615999999995</c:v>
                </c:pt>
                <c:pt idx="19">
                  <c:v>40.134992000000004</c:v>
                </c:pt>
                <c:pt idx="20">
                  <c:v>36.390826000000004</c:v>
                </c:pt>
                <c:pt idx="21">
                  <c:v>41.301175000000001</c:v>
                </c:pt>
                <c:pt idx="22">
                  <c:v>42.458519000000003</c:v>
                </c:pt>
                <c:pt idx="23">
                  <c:v>41.866393000000002</c:v>
                </c:pt>
                <c:pt idx="24">
                  <c:v>38.783892999999999</c:v>
                </c:pt>
                <c:pt idx="25">
                  <c:v>43.460047000000003</c:v>
                </c:pt>
                <c:pt idx="26">
                  <c:v>46.313184999999997</c:v>
                </c:pt>
                <c:pt idx="27">
                  <c:v>48.023691999999997</c:v>
                </c:pt>
                <c:pt idx="28">
                  <c:v>44.888103999999998</c:v>
                </c:pt>
                <c:pt idx="29">
                  <c:v>53.2502</c:v>
                </c:pt>
                <c:pt idx="30">
                  <c:v>56.810108999999997</c:v>
                </c:pt>
                <c:pt idx="31">
                  <c:v>60.094397999999998</c:v>
                </c:pt>
                <c:pt idx="32">
                  <c:v>55.907886000000005</c:v>
                </c:pt>
                <c:pt idx="33">
                  <c:v>58.412936999999999</c:v>
                </c:pt>
                <c:pt idx="34">
                  <c:v>65.229816999999997</c:v>
                </c:pt>
                <c:pt idx="35">
                  <c:v>64.100373999999988</c:v>
                </c:pt>
                <c:pt idx="36">
                  <c:v>58.819302999999998</c:v>
                </c:pt>
                <c:pt idx="37">
                  <c:v>63.743893999999997</c:v>
                </c:pt>
                <c:pt idx="38">
                  <c:v>72.086567000000002</c:v>
                </c:pt>
                <c:pt idx="39">
                  <c:v>69.617875999999995</c:v>
                </c:pt>
                <c:pt idx="40">
                  <c:v>63.398260000000001</c:v>
                </c:pt>
                <c:pt idx="41">
                  <c:v>59.366510999999996</c:v>
                </c:pt>
                <c:pt idx="42">
                  <c:v>79.775878000000006</c:v>
                </c:pt>
                <c:pt idx="43">
                  <c:v>80.088290000000001</c:v>
                </c:pt>
                <c:pt idx="44">
                  <c:v>78.555440630000007</c:v>
                </c:pt>
                <c:pt idx="45">
                  <c:v>80.013301310000003</c:v>
                </c:pt>
                <c:pt idx="46">
                  <c:v>82.314934059999999</c:v>
                </c:pt>
                <c:pt idx="47">
                  <c:v>95.283163580000007</c:v>
                </c:pt>
                <c:pt idx="48">
                  <c:v>88.973164670000003</c:v>
                </c:pt>
                <c:pt idx="49">
                  <c:v>97.078050480000002</c:v>
                </c:pt>
                <c:pt idx="50">
                  <c:v>93.92749001</c:v>
                </c:pt>
                <c:pt idx="51">
                  <c:v>89.11</c:v>
                </c:pt>
                <c:pt idx="52">
                  <c:v>89.02000000000001</c:v>
                </c:pt>
                <c:pt idx="53">
                  <c:v>84.38</c:v>
                </c:pt>
                <c:pt idx="54">
                  <c:v>93.46</c:v>
                </c:pt>
                <c:pt idx="55">
                  <c:v>93.3</c:v>
                </c:pt>
                <c:pt idx="56">
                  <c:v>92.4</c:v>
                </c:pt>
                <c:pt idx="57">
                  <c:v>96.84</c:v>
                </c:pt>
                <c:pt idx="58">
                  <c:v>107.55929719000001</c:v>
                </c:pt>
                <c:pt idx="59">
                  <c:v>104.85017934000001</c:v>
                </c:pt>
                <c:pt idx="60">
                  <c:v>102.70445067999998</c:v>
                </c:pt>
                <c:pt idx="61">
                  <c:v>116.52994965999999</c:v>
                </c:pt>
                <c:pt idx="62">
                  <c:v>128.32220361</c:v>
                </c:pt>
                <c:pt idx="63">
                  <c:v>125.21101640000001</c:v>
                </c:pt>
                <c:pt idx="64">
                  <c:v>122.71539588000002</c:v>
                </c:pt>
                <c:pt idx="65">
                  <c:v>143.70282738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8-467C-8452-D52E36B8049A}"/>
            </c:ext>
          </c:extLst>
        </c:ser>
        <c:ser>
          <c:idx val="1"/>
          <c:order val="1"/>
          <c:tx>
            <c:strRef>
              <c:f>'4_Du_tru_XNK_Quy'!$C$1</c:f>
              <c:strCache>
                <c:ptCount val="1"/>
                <c:pt idx="0">
                  <c:v>Nhập khẩu quý (tỷ 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'4_Du_tru_XNK_Quy'!$A$2:$A$67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cat>
          <c:val>
            <c:numRef>
              <c:f>'4_Du_tru_XNK_Quy'!$C$2:$C$67</c:f>
              <c:numCache>
                <c:formatCode>#,##0.00;\(#,##0.00\);\-</c:formatCode>
                <c:ptCount val="66"/>
                <c:pt idx="0">
                  <c:v>17.985537000000001</c:v>
                </c:pt>
                <c:pt idx="1">
                  <c:v>20.956983000000001</c:v>
                </c:pt>
                <c:pt idx="2">
                  <c:v>21.615331000000001</c:v>
                </c:pt>
                <c:pt idx="3">
                  <c:v>24.280701000000001</c:v>
                </c:pt>
                <c:pt idx="4">
                  <c:v>23.458221999999999</c:v>
                </c:pt>
                <c:pt idx="5">
                  <c:v>26.863278000000001</c:v>
                </c:pt>
                <c:pt idx="6">
                  <c:v>28.259855999999999</c:v>
                </c:pt>
                <c:pt idx="7">
                  <c:v>28.168498999999997</c:v>
                </c:pt>
                <c:pt idx="8">
                  <c:v>25.046596000000001</c:v>
                </c:pt>
                <c:pt idx="9">
                  <c:v>28.986809000000001</c:v>
                </c:pt>
                <c:pt idx="10">
                  <c:v>29.587157000000005</c:v>
                </c:pt>
                <c:pt idx="11">
                  <c:v>30.159870000000002</c:v>
                </c:pt>
                <c:pt idx="12">
                  <c:v>28.754911</c:v>
                </c:pt>
                <c:pt idx="13">
                  <c:v>33.921146999999998</c:v>
                </c:pt>
                <c:pt idx="14">
                  <c:v>33.777380999999998</c:v>
                </c:pt>
                <c:pt idx="15">
                  <c:v>35.579118000000001</c:v>
                </c:pt>
                <c:pt idx="16">
                  <c:v>32.259616000000001</c:v>
                </c:pt>
                <c:pt idx="17">
                  <c:v>36.98574</c:v>
                </c:pt>
                <c:pt idx="18">
                  <c:v>38.208877000000001</c:v>
                </c:pt>
                <c:pt idx="19">
                  <c:v>40.394848000000003</c:v>
                </c:pt>
                <c:pt idx="20">
                  <c:v>38.998902999999999</c:v>
                </c:pt>
                <c:pt idx="21">
                  <c:v>42.118911000000004</c:v>
                </c:pt>
                <c:pt idx="22">
                  <c:v>42.671733000000003</c:v>
                </c:pt>
                <c:pt idx="23">
                  <c:v>41.780873999999997</c:v>
                </c:pt>
                <c:pt idx="24">
                  <c:v>37.463317000000004</c:v>
                </c:pt>
                <c:pt idx="25">
                  <c:v>43.492494000000001</c:v>
                </c:pt>
                <c:pt idx="26">
                  <c:v>44.571933999999999</c:v>
                </c:pt>
                <c:pt idx="27">
                  <c:v>49.276054999999999</c:v>
                </c:pt>
                <c:pt idx="28">
                  <c:v>46.997636</c:v>
                </c:pt>
                <c:pt idx="29">
                  <c:v>54.085722000000004</c:v>
                </c:pt>
                <c:pt idx="30">
                  <c:v>54.057903999999994</c:v>
                </c:pt>
                <c:pt idx="31">
                  <c:v>57.865456999999999</c:v>
                </c:pt>
                <c:pt idx="32">
                  <c:v>53.230209000000002</c:v>
                </c:pt>
                <c:pt idx="33">
                  <c:v>57.831313000000002</c:v>
                </c:pt>
                <c:pt idx="34">
                  <c:v>61.992498999999995</c:v>
                </c:pt>
                <c:pt idx="35">
                  <c:v>63.814835000000002</c:v>
                </c:pt>
                <c:pt idx="36">
                  <c:v>57.404049000000001</c:v>
                </c:pt>
                <c:pt idx="37">
                  <c:v>63.440964999999998</c:v>
                </c:pt>
                <c:pt idx="38">
                  <c:v>66.529957999999993</c:v>
                </c:pt>
                <c:pt idx="39">
                  <c:v>66.018494000000004</c:v>
                </c:pt>
                <c:pt idx="40">
                  <c:v>59.586403000000004</c:v>
                </c:pt>
                <c:pt idx="41">
                  <c:v>57.314206999999996</c:v>
                </c:pt>
                <c:pt idx="42">
                  <c:v>68.980241000000007</c:v>
                </c:pt>
                <c:pt idx="43">
                  <c:v>76.809843999999998</c:v>
                </c:pt>
                <c:pt idx="44">
                  <c:v>76.099745178999996</c:v>
                </c:pt>
                <c:pt idx="45">
                  <c:v>84.326898624999998</c:v>
                </c:pt>
                <c:pt idx="46">
                  <c:v>83.895301455999999</c:v>
                </c:pt>
                <c:pt idx="47">
                  <c:v>88.520617137000002</c:v>
                </c:pt>
                <c:pt idx="48">
                  <c:v>87.492468185999996</c:v>
                </c:pt>
                <c:pt idx="49">
                  <c:v>97.316408819999992</c:v>
                </c:pt>
                <c:pt idx="50">
                  <c:v>90.293121209000006</c:v>
                </c:pt>
                <c:pt idx="51">
                  <c:v>85.56</c:v>
                </c:pt>
                <c:pt idx="52">
                  <c:v>83.15</c:v>
                </c:pt>
                <c:pt idx="53">
                  <c:v>81.06</c:v>
                </c:pt>
                <c:pt idx="54">
                  <c:v>85.2</c:v>
                </c:pt>
                <c:pt idx="55">
                  <c:v>89.74</c:v>
                </c:pt>
                <c:pt idx="56">
                  <c:v>85.449999999999989</c:v>
                </c:pt>
                <c:pt idx="57">
                  <c:v>94.22</c:v>
                </c:pt>
                <c:pt idx="58">
                  <c:v>98.617882687999995</c:v>
                </c:pt>
                <c:pt idx="59">
                  <c:v>101.27261641600001</c:v>
                </c:pt>
                <c:pt idx="60">
                  <c:v>99.595089224999995</c:v>
                </c:pt>
                <c:pt idx="61">
                  <c:v>112.57626982899998</c:v>
                </c:pt>
                <c:pt idx="62">
                  <c:v>122.33812991100001</c:v>
                </c:pt>
                <c:pt idx="63">
                  <c:v>122.11477161900001</c:v>
                </c:pt>
                <c:pt idx="64">
                  <c:v>126.18900212299999</c:v>
                </c:pt>
                <c:pt idx="65">
                  <c:v>155.55236074999999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8-467C-8452-D52E36B8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761520"/>
        <c:axId val="2003028464"/>
      </c:barChart>
      <c:lineChart>
        <c:grouping val="standard"/>
        <c:varyColors val="0"/>
        <c:ser>
          <c:idx val="2"/>
          <c:order val="2"/>
          <c:tx>
            <c:strRef>
              <c:f>'4_Du_tru_XNK_Quy'!$D$1</c:f>
              <c:strCache>
                <c:ptCount val="1"/>
                <c:pt idx="0">
                  <c:v>Cán cân thương mại quý (tỷ USD)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'4_Du_tru_XNK_Quy'!$A$2:$A$67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cat>
          <c:val>
            <c:numRef>
              <c:f>'4_Du_tru_XNK_Quy'!$D$2:$D$67</c:f>
              <c:numCache>
                <c:formatCode>#,##0.00;\(#,##0.00\);\-</c:formatCode>
                <c:ptCount val="66"/>
                <c:pt idx="0">
                  <c:v>-3.5913030000000017</c:v>
                </c:pt>
                <c:pt idx="1">
                  <c:v>-2.8656399999999991</c:v>
                </c:pt>
                <c:pt idx="2">
                  <c:v>-2.3989070000000012</c:v>
                </c:pt>
                <c:pt idx="3">
                  <c:v>-3.7460370000000012</c:v>
                </c:pt>
                <c:pt idx="4">
                  <c:v>-3.4916839999999993</c:v>
                </c:pt>
                <c:pt idx="5">
                  <c:v>-3.3682620000000014</c:v>
                </c:pt>
                <c:pt idx="6">
                  <c:v>-1.2526229999999998</c:v>
                </c:pt>
                <c:pt idx="7">
                  <c:v>-1.7316119999999984</c:v>
                </c:pt>
                <c:pt idx="8">
                  <c:v>-0.19281399999999849</c:v>
                </c:pt>
                <c:pt idx="9">
                  <c:v>-0.39194200000000023</c:v>
                </c:pt>
                <c:pt idx="10">
                  <c:v>0.34914599999999396</c:v>
                </c:pt>
                <c:pt idx="11">
                  <c:v>0.98434799999999711</c:v>
                </c:pt>
                <c:pt idx="12">
                  <c:v>0.45300299999999893</c:v>
                </c:pt>
                <c:pt idx="13">
                  <c:v>-1.4416769999999985</c:v>
                </c:pt>
                <c:pt idx="14">
                  <c:v>0.57737900000000053</c:v>
                </c:pt>
                <c:pt idx="15">
                  <c:v>0.41159199999999885</c:v>
                </c:pt>
                <c:pt idx="16">
                  <c:v>1.1242809999999963</c:v>
                </c:pt>
                <c:pt idx="17">
                  <c:v>0.79207900000000109</c:v>
                </c:pt>
                <c:pt idx="18">
                  <c:v>0.71173899999999435</c:v>
                </c:pt>
                <c:pt idx="19">
                  <c:v>-0.2598559999999992</c:v>
                </c:pt>
                <c:pt idx="20">
                  <c:v>-2.6080769999999944</c:v>
                </c:pt>
                <c:pt idx="21">
                  <c:v>-0.81773600000000357</c:v>
                </c:pt>
                <c:pt idx="22">
                  <c:v>-0.21321400000000068</c:v>
                </c:pt>
                <c:pt idx="23">
                  <c:v>8.5519000000005008E-2</c:v>
                </c:pt>
                <c:pt idx="24">
                  <c:v>1.3205759999999955</c:v>
                </c:pt>
                <c:pt idx="25">
                  <c:v>-3.2446999999997672E-2</c:v>
                </c:pt>
                <c:pt idx="26">
                  <c:v>1.7412509999999983</c:v>
                </c:pt>
                <c:pt idx="27">
                  <c:v>-1.2523630000000026</c:v>
                </c:pt>
                <c:pt idx="28">
                  <c:v>-2.1095320000000015</c:v>
                </c:pt>
                <c:pt idx="29">
                  <c:v>-0.83552200000000454</c:v>
                </c:pt>
                <c:pt idx="30">
                  <c:v>2.7522050000000036</c:v>
                </c:pt>
                <c:pt idx="31">
                  <c:v>2.228940999999999</c:v>
                </c:pt>
                <c:pt idx="32">
                  <c:v>2.6776770000000027</c:v>
                </c:pt>
                <c:pt idx="33">
                  <c:v>0.58162399999999792</c:v>
                </c:pt>
                <c:pt idx="34">
                  <c:v>3.2373180000000019</c:v>
                </c:pt>
                <c:pt idx="35">
                  <c:v>0.28553899999998578</c:v>
                </c:pt>
                <c:pt idx="36">
                  <c:v>1.4152539999999973</c:v>
                </c:pt>
                <c:pt idx="37">
                  <c:v>0.30292899999999889</c:v>
                </c:pt>
                <c:pt idx="38">
                  <c:v>5.5566090000000088</c:v>
                </c:pt>
                <c:pt idx="39">
                  <c:v>3.5993819999999914</c:v>
                </c:pt>
                <c:pt idx="40">
                  <c:v>3.8118569999999963</c:v>
                </c:pt>
                <c:pt idx="41">
                  <c:v>2.0523039999999995</c:v>
                </c:pt>
                <c:pt idx="42">
                  <c:v>10.795636999999999</c:v>
                </c:pt>
                <c:pt idx="43">
                  <c:v>3.2784460000000024</c:v>
                </c:pt>
                <c:pt idx="44">
                  <c:v>2.4556954510000111</c:v>
                </c:pt>
                <c:pt idx="45">
                  <c:v>-4.3135973149999955</c:v>
                </c:pt>
                <c:pt idx="46">
                  <c:v>-1.5803673959999998</c:v>
                </c:pt>
                <c:pt idx="47">
                  <c:v>6.7625464430000051</c:v>
                </c:pt>
                <c:pt idx="48">
                  <c:v>1.4806964840000063</c:v>
                </c:pt>
                <c:pt idx="49">
                  <c:v>-0.23835833999999068</c:v>
                </c:pt>
                <c:pt idx="50">
                  <c:v>3.6343688009999937</c:v>
                </c:pt>
                <c:pt idx="51">
                  <c:v>3.5499999999999972</c:v>
                </c:pt>
                <c:pt idx="52">
                  <c:v>5.8700000000000045</c:v>
                </c:pt>
                <c:pt idx="53">
                  <c:v>3.3199999999999932</c:v>
                </c:pt>
                <c:pt idx="54">
                  <c:v>8.2599999999999909</c:v>
                </c:pt>
                <c:pt idx="55">
                  <c:v>3.5600000000000023</c:v>
                </c:pt>
                <c:pt idx="56">
                  <c:v>6.9500000000000171</c:v>
                </c:pt>
                <c:pt idx="57">
                  <c:v>2.6200000000000045</c:v>
                </c:pt>
                <c:pt idx="58">
                  <c:v>8.9414145020000149</c:v>
                </c:pt>
                <c:pt idx="59">
                  <c:v>3.5775629240000058</c:v>
                </c:pt>
                <c:pt idx="60">
                  <c:v>3.1093614549999842</c:v>
                </c:pt>
                <c:pt idx="61">
                  <c:v>3.9536798310000023</c:v>
                </c:pt>
                <c:pt idx="62">
                  <c:v>5.9840736989999925</c:v>
                </c:pt>
                <c:pt idx="63">
                  <c:v>3.0962447809999958</c:v>
                </c:pt>
                <c:pt idx="64">
                  <c:v>-3.4736062429999777</c:v>
                </c:pt>
                <c:pt idx="65">
                  <c:v>-11.849533369999989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A8-467C-8452-D52E36B8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761520"/>
        <c:axId val="2003028464"/>
      </c:lineChart>
      <c:lineChart>
        <c:grouping val="standard"/>
        <c:varyColors val="0"/>
        <c:ser>
          <c:idx val="3"/>
          <c:order val="3"/>
          <c:tx>
            <c:strRef>
              <c:f>'4_Du_tru_XNK_Quy'!$E$1</c:f>
              <c:strCache>
                <c:ptCount val="1"/>
                <c:pt idx="0">
                  <c:v>Dự trữ (gồm vàng) / số tháng nhập khẩu (tháng)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'4_Du_tru_XNK_Quy'!$A$2:$A$67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cat>
          <c:val>
            <c:numRef>
              <c:f>'4_Du_tru_XNK_Quy'!$E$2:$E$67</c:f>
              <c:numCache>
                <c:formatCode>#,##0.00;\(#,##0.00\);\-</c:formatCode>
                <c:ptCount val="66"/>
                <c:pt idx="0">
                  <c:v>1.828319747842938</c:v>
                </c:pt>
                <c:pt idx="1">
                  <c:v>1.828319747842938</c:v>
                </c:pt>
                <c:pt idx="2">
                  <c:v>1.828319747842938</c:v>
                </c:pt>
                <c:pt idx="3">
                  <c:v>1.828319747842938</c:v>
                </c:pt>
                <c:pt idx="4">
                  <c:v>1.6851059187684474</c:v>
                </c:pt>
                <c:pt idx="5">
                  <c:v>1.9610563280712709</c:v>
                </c:pt>
                <c:pt idx="6">
                  <c:v>1.8518781906140569</c:v>
                </c:pt>
                <c:pt idx="7">
                  <c:v>1.5789435966915366</c:v>
                </c:pt>
                <c:pt idx="8">
                  <c:v>2.0314158910609477</c:v>
                </c:pt>
                <c:pt idx="9">
                  <c:v>2.2403771223634319</c:v>
                </c:pt>
                <c:pt idx="10">
                  <c:v>2.387782826085282</c:v>
                </c:pt>
                <c:pt idx="11">
                  <c:v>2.7540412221321144</c:v>
                </c:pt>
                <c:pt idx="12">
                  <c:v>2.9484015179768663</c:v>
                </c:pt>
                <c:pt idx="13">
                  <c:v>2.4796303736341887</c:v>
                </c:pt>
                <c:pt idx="14">
                  <c:v>2.3559608571639181</c:v>
                </c:pt>
                <c:pt idx="15">
                  <c:v>2.3891380063176384</c:v>
                </c:pt>
                <c:pt idx="16">
                  <c:v>3.0257361993929015</c:v>
                </c:pt>
                <c:pt idx="17">
                  <c:v>3.1365813971248802</c:v>
                </c:pt>
                <c:pt idx="18">
                  <c:v>3.1224605791414342</c:v>
                </c:pt>
                <c:pt idx="19">
                  <c:v>2.8062399657391177</c:v>
                </c:pt>
                <c:pt idx="20">
                  <c:v>2.8951984278661889</c:v>
                </c:pt>
                <c:pt idx="21">
                  <c:v>2.8314528073762171</c:v>
                </c:pt>
                <c:pt idx="22">
                  <c:v>2.2675723840868063</c:v>
                </c:pt>
                <c:pt idx="23">
                  <c:v>2.073993639238255</c:v>
                </c:pt>
                <c:pt idx="24">
                  <c:v>2.3422098117146883</c:v>
                </c:pt>
                <c:pt idx="25">
                  <c:v>2.5693492818485213</c:v>
                </c:pt>
                <c:pt idx="26">
                  <c:v>2.7294469509667043</c:v>
                </c:pt>
                <c:pt idx="27">
                  <c:v>2.5335376004411803</c:v>
                </c:pt>
                <c:pt idx="28">
                  <c:v>2.4888178445609501</c:v>
                </c:pt>
                <c:pt idx="29">
                  <c:v>2.4378428986077858</c:v>
                </c:pt>
                <c:pt idx="30">
                  <c:v>2.452336266599175</c:v>
                </c:pt>
                <c:pt idx="31">
                  <c:v>2.7884754189373719</c:v>
                </c:pt>
                <c:pt idx="32">
                  <c:v>3.1032393591199883</c:v>
                </c:pt>
                <c:pt idx="33">
                  <c:v>3.1302749792235915</c:v>
                </c:pt>
                <c:pt idx="34">
                  <c:v>2.9823902512026295</c:v>
                </c:pt>
                <c:pt idx="35">
                  <c:v>2.8303256549691787</c:v>
                </c:pt>
                <c:pt idx="36">
                  <c:v>3.1262179377548951</c:v>
                </c:pt>
                <c:pt idx="37">
                  <c:v>3.1496476976574335</c:v>
                </c:pt>
                <c:pt idx="38">
                  <c:v>3.3284630852875337</c:v>
                </c:pt>
                <c:pt idx="39">
                  <c:v>3.7322193619625534</c:v>
                </c:pt>
                <c:pt idx="40">
                  <c:v>3.8597078549919153</c:v>
                </c:pt>
                <c:pt idx="41">
                  <c:v>4.0563471832177109</c:v>
                </c:pt>
                <c:pt idx="42">
                  <c:v>4.2567955069513976</c:v>
                </c:pt>
                <c:pt idx="43">
                  <c:v>4.3603523908602853</c:v>
                </c:pt>
                <c:pt idx="44">
                  <c:v>4.2488927165456714</c:v>
                </c:pt>
                <c:pt idx="45">
                  <c:v>3.9497123645852277</c:v>
                </c:pt>
                <c:pt idx="46">
                  <c:v>4.0260853744168488</c:v>
                </c:pt>
                <c:pt idx="47">
                  <c:v>3.9645049914803008</c:v>
                </c:pt>
                <c:pt idx="48">
                  <c:v>3.795160041384936</c:v>
                </c:pt>
                <c:pt idx="49">
                  <c:v>3.4886939970397974</c:v>
                </c:pt>
                <c:pt idx="50">
                  <c:v>2.9082349539131425</c:v>
                </c:pt>
                <c:pt idx="51">
                  <c:v>2.8990356765469576</c:v>
                </c:pt>
                <c:pt idx="52">
                  <c:v>2.9924601660571861</c:v>
                </c:pt>
                <c:pt idx="53">
                  <c:v>3.2368931864372592</c:v>
                </c:pt>
                <c:pt idx="54">
                  <c:v>3.2271069050959778</c:v>
                </c:pt>
                <c:pt idx="55">
                  <c:v>3.2873595754091109</c:v>
                </c:pt>
                <c:pt idx="56">
                  <c:v>3.2220940108361402</c:v>
                </c:pt>
                <c:pt idx="57">
                  <c:v>2.8918304616339081</c:v>
                </c:pt>
                <c:pt idx="58">
                  <c:v>2.7765178891792655</c:v>
                </c:pt>
                <c:pt idx="59">
                  <c:v>2.6535216451067889</c:v>
                </c:pt>
                <c:pt idx="60">
                  <c:v>2.546755823953704</c:v>
                </c:pt>
                <c:pt idx="61">
                  <c:v>2.4499913787529</c:v>
                </c:pt>
                <c:pt idx="62">
                  <c:v>2.3522397715339798</c:v>
                </c:pt>
                <c:pt idx="63">
                  <c:v>2.2848983071237154</c:v>
                </c:pt>
                <c:pt idx="64">
                  <c:v>2.1566655750765551</c:v>
                </c:pt>
                <c:pt idx="65">
                  <c:v>2.0421887365480633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A8-467C-8452-D52E36B8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581952"/>
        <c:axId val="2003039504"/>
      </c:lineChart>
      <c:catAx>
        <c:axId val="127376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28464"/>
        <c:crosses val="autoZero"/>
        <c:auto val="1"/>
        <c:lblAlgn val="ctr"/>
        <c:lblOffset val="100"/>
        <c:noMultiLvlLbl val="0"/>
      </c:catAx>
      <c:valAx>
        <c:axId val="200302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761520"/>
        <c:crosses val="autoZero"/>
        <c:crossBetween val="between"/>
      </c:valAx>
      <c:valAx>
        <c:axId val="2003039504"/>
        <c:scaling>
          <c:orientation val="minMax"/>
        </c:scaling>
        <c:delete val="0"/>
        <c:axPos val="r"/>
        <c:numFmt formatCode="#,##0.00;\(#,##0.0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81952"/>
        <c:crosses val="max"/>
        <c:crossBetween val="between"/>
      </c:valAx>
      <c:catAx>
        <c:axId val="1273581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30395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LDR Việt</a:t>
            </a:r>
            <a:r>
              <a:rPr lang="en-US" baseline="0"/>
              <a:t> Nam so với khu vực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'5_LDR_khu_vuc'!$B$1</c:f>
              <c:strCache>
                <c:ptCount val="1"/>
                <c:pt idx="0">
                  <c:v>Vietnam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'5_LDR_khu_vuc'!$A$2:$A$43</c:f>
              <c:numCache>
                <c:formatCode>dd/mm/yyyy</c:formatCode>
                <c:ptCount val="4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  <c:pt idx="32">
                  <c:v>45382</c:v>
                </c:pt>
                <c:pt idx="33">
                  <c:v>45473</c:v>
                </c:pt>
                <c:pt idx="34">
                  <c:v>45565</c:v>
                </c:pt>
                <c:pt idx="35">
                  <c:v>45657</c:v>
                </c:pt>
                <c:pt idx="36">
                  <c:v>45747</c:v>
                </c:pt>
                <c:pt idx="37">
                  <c:v>45838</c:v>
                </c:pt>
                <c:pt idx="38">
                  <c:v>45930</c:v>
                </c:pt>
                <c:pt idx="39">
                  <c:v>46022</c:v>
                </c:pt>
                <c:pt idx="40">
                  <c:v>46112</c:v>
                </c:pt>
                <c:pt idx="41">
                  <c:v>46203</c:v>
                </c:pt>
              </c:numCache>
            </c:numRef>
          </c:cat>
          <c:val>
            <c:numRef>
              <c:f>'5_LDR_khu_vuc'!$B$2:$B$43</c:f>
              <c:numCache>
                <c:formatCode>#,##0.00</c:formatCode>
                <c:ptCount val="42"/>
                <c:pt idx="0">
                  <c:v>78.5</c:v>
                </c:pt>
                <c:pt idx="1">
                  <c:v>78.5</c:v>
                </c:pt>
                <c:pt idx="2">
                  <c:v>81.400000000000006</c:v>
                </c:pt>
                <c:pt idx="3">
                  <c:v>81.400000000000006</c:v>
                </c:pt>
                <c:pt idx="4">
                  <c:v>83.1</c:v>
                </c:pt>
                <c:pt idx="5">
                  <c:v>83.1</c:v>
                </c:pt>
                <c:pt idx="6">
                  <c:v>85</c:v>
                </c:pt>
                <c:pt idx="7">
                  <c:v>85</c:v>
                </c:pt>
                <c:pt idx="8">
                  <c:v>87.3</c:v>
                </c:pt>
                <c:pt idx="9">
                  <c:v>87.3</c:v>
                </c:pt>
                <c:pt idx="10">
                  <c:v>86.3</c:v>
                </c:pt>
                <c:pt idx="11">
                  <c:v>86.3</c:v>
                </c:pt>
                <c:pt idx="12">
                  <c:v>87</c:v>
                </c:pt>
                <c:pt idx="13">
                  <c:v>87</c:v>
                </c:pt>
                <c:pt idx="14">
                  <c:v>86.3</c:v>
                </c:pt>
                <c:pt idx="15">
                  <c:v>86.3</c:v>
                </c:pt>
                <c:pt idx="16">
                  <c:v>85.3</c:v>
                </c:pt>
                <c:pt idx="17">
                  <c:v>85.3</c:v>
                </c:pt>
                <c:pt idx="18">
                  <c:v>87.1</c:v>
                </c:pt>
                <c:pt idx="19">
                  <c:v>87.1</c:v>
                </c:pt>
                <c:pt idx="20">
                  <c:v>89.4</c:v>
                </c:pt>
                <c:pt idx="21">
                  <c:v>89.4</c:v>
                </c:pt>
                <c:pt idx="22">
                  <c:v>90.3</c:v>
                </c:pt>
                <c:pt idx="23">
                  <c:v>90.3</c:v>
                </c:pt>
                <c:pt idx="24">
                  <c:v>92.5</c:v>
                </c:pt>
                <c:pt idx="25">
                  <c:v>92.5</c:v>
                </c:pt>
                <c:pt idx="26">
                  <c:v>94.2</c:v>
                </c:pt>
                <c:pt idx="27">
                  <c:v>94.2</c:v>
                </c:pt>
                <c:pt idx="28">
                  <c:v>97.1</c:v>
                </c:pt>
                <c:pt idx="29">
                  <c:v>97.1</c:v>
                </c:pt>
                <c:pt idx="30">
                  <c:v>96.9</c:v>
                </c:pt>
                <c:pt idx="31">
                  <c:v>98</c:v>
                </c:pt>
                <c:pt idx="32">
                  <c:v>99.8</c:v>
                </c:pt>
                <c:pt idx="33">
                  <c:v>101.6</c:v>
                </c:pt>
                <c:pt idx="34">
                  <c:v>102.2</c:v>
                </c:pt>
                <c:pt idx="35">
                  <c:v>102.8</c:v>
                </c:pt>
                <c:pt idx="36">
                  <c:v>105.4</c:v>
                </c:pt>
                <c:pt idx="37">
                  <c:v>103.7</c:v>
                </c:pt>
                <c:pt idx="38">
                  <c:v>107.3</c:v>
                </c:pt>
                <c:pt idx="39">
                  <c:v>107.1</c:v>
                </c:pt>
                <c:pt idx="40" formatCode="General">
                  <c:v>111.9</c:v>
                </c:pt>
                <c:pt idx="4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C-448C-9BCA-56E1B0869B98}"/>
            </c:ext>
          </c:extLst>
        </c:ser>
        <c:ser>
          <c:idx val="1"/>
          <c:order val="1"/>
          <c:tx>
            <c:strRef>
              <c:f>'5_LDR_khu_vuc'!$C$1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'5_LDR_khu_vuc'!$A$2:$A$43</c:f>
              <c:numCache>
                <c:formatCode>dd/mm/yyyy</c:formatCode>
                <c:ptCount val="4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  <c:pt idx="32">
                  <c:v>45382</c:v>
                </c:pt>
                <c:pt idx="33">
                  <c:v>45473</c:v>
                </c:pt>
                <c:pt idx="34">
                  <c:v>45565</c:v>
                </c:pt>
                <c:pt idx="35">
                  <c:v>45657</c:v>
                </c:pt>
                <c:pt idx="36">
                  <c:v>45747</c:v>
                </c:pt>
                <c:pt idx="37">
                  <c:v>45838</c:v>
                </c:pt>
                <c:pt idx="38">
                  <c:v>45930</c:v>
                </c:pt>
                <c:pt idx="39">
                  <c:v>46022</c:v>
                </c:pt>
                <c:pt idx="40">
                  <c:v>46112</c:v>
                </c:pt>
                <c:pt idx="41">
                  <c:v>46203</c:v>
                </c:pt>
              </c:numCache>
            </c:numRef>
          </c:cat>
          <c:val>
            <c:numRef>
              <c:f>'5_LDR_khu_vuc'!$C$2:$C$43</c:f>
              <c:numCache>
                <c:formatCode>#,##0.00</c:formatCode>
                <c:ptCount val="42"/>
                <c:pt idx="0">
                  <c:v>71.400000000000006</c:v>
                </c:pt>
                <c:pt idx="1">
                  <c:v>70.8</c:v>
                </c:pt>
                <c:pt idx="2">
                  <c:v>71.599999999999994</c:v>
                </c:pt>
                <c:pt idx="3">
                  <c:v>72</c:v>
                </c:pt>
                <c:pt idx="4">
                  <c:v>72.400000000000006</c:v>
                </c:pt>
                <c:pt idx="5">
                  <c:v>72.8</c:v>
                </c:pt>
                <c:pt idx="6">
                  <c:v>73.599999999999994</c:v>
                </c:pt>
                <c:pt idx="7">
                  <c:v>74.2</c:v>
                </c:pt>
                <c:pt idx="8">
                  <c:v>74.8</c:v>
                </c:pt>
                <c:pt idx="9">
                  <c:v>75.599999999999994</c:v>
                </c:pt>
                <c:pt idx="10">
                  <c:v>76.599999999999994</c:v>
                </c:pt>
                <c:pt idx="11">
                  <c:v>77.7</c:v>
                </c:pt>
                <c:pt idx="12">
                  <c:v>78.2</c:v>
                </c:pt>
                <c:pt idx="13">
                  <c:v>78.599999999999994</c:v>
                </c:pt>
                <c:pt idx="14">
                  <c:v>79.400000000000006</c:v>
                </c:pt>
                <c:pt idx="15">
                  <c:v>80</c:v>
                </c:pt>
                <c:pt idx="16">
                  <c:v>80.400000000000006</c:v>
                </c:pt>
                <c:pt idx="17">
                  <c:v>80.400000000000006</c:v>
                </c:pt>
                <c:pt idx="18">
                  <c:v>80.900000000000006</c:v>
                </c:pt>
                <c:pt idx="19">
                  <c:v>81.7</c:v>
                </c:pt>
                <c:pt idx="20">
                  <c:v>82.1</c:v>
                </c:pt>
                <c:pt idx="21">
                  <c:v>82.2</c:v>
                </c:pt>
                <c:pt idx="22">
                  <c:v>83</c:v>
                </c:pt>
                <c:pt idx="23">
                  <c:v>83.2</c:v>
                </c:pt>
                <c:pt idx="24">
                  <c:v>82.9</c:v>
                </c:pt>
                <c:pt idx="25">
                  <c:v>82.4</c:v>
                </c:pt>
                <c:pt idx="26">
                  <c:v>82.9</c:v>
                </c:pt>
                <c:pt idx="27">
                  <c:v>82.9</c:v>
                </c:pt>
                <c:pt idx="28">
                  <c:v>82.3</c:v>
                </c:pt>
                <c:pt idx="29">
                  <c:v>82.8</c:v>
                </c:pt>
                <c:pt idx="30">
                  <c:v>83.6</c:v>
                </c:pt>
                <c:pt idx="31">
                  <c:v>83.6</c:v>
                </c:pt>
                <c:pt idx="32">
                  <c:v>83.5</c:v>
                </c:pt>
                <c:pt idx="33">
                  <c:v>84.6</c:v>
                </c:pt>
                <c:pt idx="34">
                  <c:v>84</c:v>
                </c:pt>
                <c:pt idx="35">
                  <c:v>84.2</c:v>
                </c:pt>
                <c:pt idx="36">
                  <c:v>83.6</c:v>
                </c:pt>
                <c:pt idx="37">
                  <c:v>83.2</c:v>
                </c:pt>
                <c:pt idx="38">
                  <c:v>82.6</c:v>
                </c:pt>
                <c:pt idx="39">
                  <c:v>82</c:v>
                </c:pt>
                <c:pt idx="40">
                  <c:v>81.239999999999995</c:v>
                </c:pt>
                <c:pt idx="41">
                  <c:v>80.84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C-448C-9BCA-56E1B0869B98}"/>
            </c:ext>
          </c:extLst>
        </c:ser>
        <c:ser>
          <c:idx val="2"/>
          <c:order val="2"/>
          <c:tx>
            <c:strRef>
              <c:f>'5_LDR_khu_vuc'!$D$1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'5_LDR_khu_vuc'!$A$2:$A$43</c:f>
              <c:numCache>
                <c:formatCode>dd/mm/yyyy</c:formatCode>
                <c:ptCount val="4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  <c:pt idx="32">
                  <c:v>45382</c:v>
                </c:pt>
                <c:pt idx="33">
                  <c:v>45473</c:v>
                </c:pt>
                <c:pt idx="34">
                  <c:v>45565</c:v>
                </c:pt>
                <c:pt idx="35">
                  <c:v>45657</c:v>
                </c:pt>
                <c:pt idx="36">
                  <c:v>45747</c:v>
                </c:pt>
                <c:pt idx="37">
                  <c:v>45838</c:v>
                </c:pt>
                <c:pt idx="38">
                  <c:v>45930</c:v>
                </c:pt>
                <c:pt idx="39">
                  <c:v>46022</c:v>
                </c:pt>
                <c:pt idx="40">
                  <c:v>46112</c:v>
                </c:pt>
                <c:pt idx="41">
                  <c:v>46203</c:v>
                </c:pt>
              </c:numCache>
            </c:numRef>
          </c:cat>
          <c:val>
            <c:numRef>
              <c:f>'5_LDR_khu_vuc'!$D$2:$D$43</c:f>
              <c:numCache>
                <c:formatCode>#,##0.00</c:formatCode>
                <c:ptCount val="42"/>
                <c:pt idx="0">
                  <c:v>84.6</c:v>
                </c:pt>
                <c:pt idx="1">
                  <c:v>83.4</c:v>
                </c:pt>
                <c:pt idx="2">
                  <c:v>81.599999999999994</c:v>
                </c:pt>
                <c:pt idx="3">
                  <c:v>75.5</c:v>
                </c:pt>
                <c:pt idx="4">
                  <c:v>78.8</c:v>
                </c:pt>
                <c:pt idx="5">
                  <c:v>78.400000000000006</c:v>
                </c:pt>
                <c:pt idx="6">
                  <c:v>79</c:v>
                </c:pt>
                <c:pt idx="7">
                  <c:v>80.099999999999994</c:v>
                </c:pt>
                <c:pt idx="8">
                  <c:v>80.900000000000006</c:v>
                </c:pt>
                <c:pt idx="9">
                  <c:v>80.599999999999994</c:v>
                </c:pt>
                <c:pt idx="10">
                  <c:v>81</c:v>
                </c:pt>
                <c:pt idx="11">
                  <c:v>83.1</c:v>
                </c:pt>
                <c:pt idx="12">
                  <c:v>82.7</c:v>
                </c:pt>
                <c:pt idx="13">
                  <c:v>81.599999999999994</c:v>
                </c:pt>
                <c:pt idx="14">
                  <c:v>80.099999999999994</c:v>
                </c:pt>
                <c:pt idx="15">
                  <c:v>80.099999999999994</c:v>
                </c:pt>
                <c:pt idx="16">
                  <c:v>81</c:v>
                </c:pt>
                <c:pt idx="17">
                  <c:v>77.400000000000006</c:v>
                </c:pt>
                <c:pt idx="18">
                  <c:v>76.400000000000006</c:v>
                </c:pt>
                <c:pt idx="19">
                  <c:v>76.8</c:v>
                </c:pt>
                <c:pt idx="20">
                  <c:v>76.8</c:v>
                </c:pt>
                <c:pt idx="21">
                  <c:v>75.5</c:v>
                </c:pt>
                <c:pt idx="22">
                  <c:v>75.2</c:v>
                </c:pt>
                <c:pt idx="23">
                  <c:v>77.3</c:v>
                </c:pt>
                <c:pt idx="24">
                  <c:v>77.7</c:v>
                </c:pt>
                <c:pt idx="25">
                  <c:v>79.5</c:v>
                </c:pt>
                <c:pt idx="26">
                  <c:v>80.5</c:v>
                </c:pt>
                <c:pt idx="27">
                  <c:v>81.599999999999994</c:v>
                </c:pt>
                <c:pt idx="28">
                  <c:v>81.099999999999994</c:v>
                </c:pt>
                <c:pt idx="29">
                  <c:v>81.2</c:v>
                </c:pt>
                <c:pt idx="30">
                  <c:v>84.5</c:v>
                </c:pt>
                <c:pt idx="31">
                  <c:v>86.2</c:v>
                </c:pt>
                <c:pt idx="32">
                  <c:v>84.3</c:v>
                </c:pt>
                <c:pt idx="33">
                  <c:v>85.4</c:v>
                </c:pt>
                <c:pt idx="34">
                  <c:v>85</c:v>
                </c:pt>
                <c:pt idx="35">
                  <c:v>86.2</c:v>
                </c:pt>
                <c:pt idx="36">
                  <c:v>85.3</c:v>
                </c:pt>
                <c:pt idx="37">
                  <c:v>85.3</c:v>
                </c:pt>
                <c:pt idx="38">
                  <c:v>86.3</c:v>
                </c:pt>
                <c:pt idx="39">
                  <c:v>88.1</c:v>
                </c:pt>
                <c:pt idx="40">
                  <c:v>87.9</c:v>
                </c:pt>
                <c:pt idx="41">
                  <c:v>83.6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C-448C-9BCA-56E1B0869B98}"/>
            </c:ext>
          </c:extLst>
        </c:ser>
        <c:ser>
          <c:idx val="3"/>
          <c:order val="3"/>
          <c:tx>
            <c:strRef>
              <c:f>'5_LDR_khu_vuc'!$E$1</c:f>
              <c:strCache>
                <c:ptCount val="1"/>
                <c:pt idx="0">
                  <c:v>Singapore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'5_LDR_khu_vuc'!$A$2:$A$43</c:f>
              <c:numCache>
                <c:formatCode>dd/mm/yyyy</c:formatCode>
                <c:ptCount val="4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  <c:pt idx="32">
                  <c:v>45382</c:v>
                </c:pt>
                <c:pt idx="33">
                  <c:v>45473</c:v>
                </c:pt>
                <c:pt idx="34">
                  <c:v>45565</c:v>
                </c:pt>
                <c:pt idx="35">
                  <c:v>45657</c:v>
                </c:pt>
                <c:pt idx="36">
                  <c:v>45747</c:v>
                </c:pt>
                <c:pt idx="37">
                  <c:v>45838</c:v>
                </c:pt>
                <c:pt idx="38">
                  <c:v>45930</c:v>
                </c:pt>
                <c:pt idx="39">
                  <c:v>46022</c:v>
                </c:pt>
                <c:pt idx="40">
                  <c:v>46112</c:v>
                </c:pt>
                <c:pt idx="41">
                  <c:v>46203</c:v>
                </c:pt>
              </c:numCache>
            </c:numRef>
          </c:cat>
          <c:val>
            <c:numRef>
              <c:f>'5_LDR_khu_vuc'!$E$2:$E$43</c:f>
              <c:numCache>
                <c:formatCode>#,##0.00</c:formatCode>
                <c:ptCount val="42"/>
                <c:pt idx="0">
                  <c:v>103</c:v>
                </c:pt>
                <c:pt idx="1">
                  <c:v>103</c:v>
                </c:pt>
                <c:pt idx="2">
                  <c:v>102.9</c:v>
                </c:pt>
                <c:pt idx="3">
                  <c:v>103.5</c:v>
                </c:pt>
                <c:pt idx="4">
                  <c:v>103</c:v>
                </c:pt>
                <c:pt idx="5">
                  <c:v>104.8</c:v>
                </c:pt>
                <c:pt idx="6">
                  <c:v>105.6</c:v>
                </c:pt>
                <c:pt idx="7">
                  <c:v>107.5</c:v>
                </c:pt>
                <c:pt idx="8">
                  <c:v>108.5</c:v>
                </c:pt>
                <c:pt idx="9">
                  <c:v>108.6</c:v>
                </c:pt>
                <c:pt idx="10">
                  <c:v>107.9</c:v>
                </c:pt>
                <c:pt idx="11">
                  <c:v>107.6</c:v>
                </c:pt>
                <c:pt idx="12">
                  <c:v>105.3</c:v>
                </c:pt>
                <c:pt idx="13">
                  <c:v>106.4</c:v>
                </c:pt>
                <c:pt idx="14">
                  <c:v>105</c:v>
                </c:pt>
                <c:pt idx="15">
                  <c:v>104</c:v>
                </c:pt>
                <c:pt idx="16">
                  <c:v>100.1</c:v>
                </c:pt>
                <c:pt idx="17">
                  <c:v>95.2</c:v>
                </c:pt>
                <c:pt idx="18">
                  <c:v>94.2</c:v>
                </c:pt>
                <c:pt idx="19">
                  <c:v>93.4</c:v>
                </c:pt>
                <c:pt idx="20">
                  <c:v>94.3</c:v>
                </c:pt>
                <c:pt idx="21">
                  <c:v>93.8</c:v>
                </c:pt>
                <c:pt idx="22">
                  <c:v>84.1</c:v>
                </c:pt>
                <c:pt idx="23">
                  <c:v>82.8</c:v>
                </c:pt>
                <c:pt idx="24">
                  <c:v>80.8</c:v>
                </c:pt>
                <c:pt idx="25">
                  <c:v>79.400000000000006</c:v>
                </c:pt>
                <c:pt idx="26">
                  <c:v>77.400000000000006</c:v>
                </c:pt>
                <c:pt idx="27">
                  <c:v>75.2</c:v>
                </c:pt>
                <c:pt idx="28">
                  <c:v>72.5</c:v>
                </c:pt>
                <c:pt idx="29">
                  <c:v>72.8</c:v>
                </c:pt>
                <c:pt idx="30">
                  <c:v>70.599999999999994</c:v>
                </c:pt>
                <c:pt idx="31">
                  <c:v>70</c:v>
                </c:pt>
                <c:pt idx="32">
                  <c:v>69.2</c:v>
                </c:pt>
                <c:pt idx="33">
                  <c:v>68.7</c:v>
                </c:pt>
                <c:pt idx="34">
                  <c:v>68.900000000000006</c:v>
                </c:pt>
                <c:pt idx="35">
                  <c:v>68.400000000000006</c:v>
                </c:pt>
                <c:pt idx="36">
                  <c:v>67.8</c:v>
                </c:pt>
                <c:pt idx="37">
                  <c:v>67.400000000000006</c:v>
                </c:pt>
                <c:pt idx="38">
                  <c:v>66.8</c:v>
                </c:pt>
                <c:pt idx="39">
                  <c:v>67.7</c:v>
                </c:pt>
                <c:pt idx="40">
                  <c:v>67.2</c:v>
                </c:pt>
                <c:pt idx="4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1C-448C-9BCA-56E1B0869B98}"/>
            </c:ext>
          </c:extLst>
        </c:ser>
        <c:ser>
          <c:idx val="4"/>
          <c:order val="4"/>
          <c:tx>
            <c:strRef>
              <c:f>'5_LDR_khu_vuc'!$F$1</c:f>
              <c:strCache>
                <c:ptCount val="1"/>
                <c:pt idx="0">
                  <c:v>Thailand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'5_LDR_khu_vuc'!$A$2:$A$43</c:f>
              <c:numCache>
                <c:formatCode>dd/mm/yyyy</c:formatCode>
                <c:ptCount val="4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  <c:pt idx="32">
                  <c:v>45382</c:v>
                </c:pt>
                <c:pt idx="33">
                  <c:v>45473</c:v>
                </c:pt>
                <c:pt idx="34">
                  <c:v>45565</c:v>
                </c:pt>
                <c:pt idx="35">
                  <c:v>45657</c:v>
                </c:pt>
                <c:pt idx="36">
                  <c:v>45747</c:v>
                </c:pt>
                <c:pt idx="37">
                  <c:v>45838</c:v>
                </c:pt>
                <c:pt idx="38">
                  <c:v>45930</c:v>
                </c:pt>
                <c:pt idx="39">
                  <c:v>46022</c:v>
                </c:pt>
                <c:pt idx="40">
                  <c:v>46112</c:v>
                </c:pt>
                <c:pt idx="41">
                  <c:v>46203</c:v>
                </c:pt>
              </c:numCache>
            </c:numRef>
          </c:cat>
          <c:val>
            <c:numRef>
              <c:f>'5_LDR_khu_vuc'!$F$2:$F$43</c:f>
              <c:numCache>
                <c:formatCode>#,##0.00</c:formatCode>
                <c:ptCount val="42"/>
                <c:pt idx="0">
                  <c:v>110.6</c:v>
                </c:pt>
                <c:pt idx="1">
                  <c:v>111.6</c:v>
                </c:pt>
                <c:pt idx="2">
                  <c:v>111.8</c:v>
                </c:pt>
                <c:pt idx="3">
                  <c:v>109.9</c:v>
                </c:pt>
                <c:pt idx="4">
                  <c:v>109.8</c:v>
                </c:pt>
                <c:pt idx="5">
                  <c:v>111.2</c:v>
                </c:pt>
                <c:pt idx="6">
                  <c:v>113</c:v>
                </c:pt>
                <c:pt idx="7">
                  <c:v>112.6</c:v>
                </c:pt>
                <c:pt idx="8">
                  <c:v>114.5</c:v>
                </c:pt>
                <c:pt idx="9">
                  <c:v>112.7</c:v>
                </c:pt>
                <c:pt idx="10">
                  <c:v>113.5</c:v>
                </c:pt>
                <c:pt idx="11">
                  <c:v>111.2</c:v>
                </c:pt>
                <c:pt idx="12">
                  <c:v>111.9</c:v>
                </c:pt>
                <c:pt idx="13">
                  <c:v>110.8</c:v>
                </c:pt>
                <c:pt idx="14">
                  <c:v>112.1</c:v>
                </c:pt>
                <c:pt idx="15">
                  <c:v>110.3</c:v>
                </c:pt>
                <c:pt idx="16">
                  <c:v>109.2</c:v>
                </c:pt>
                <c:pt idx="17">
                  <c:v>107.6</c:v>
                </c:pt>
                <c:pt idx="18">
                  <c:v>107.3</c:v>
                </c:pt>
                <c:pt idx="19">
                  <c:v>108.4</c:v>
                </c:pt>
                <c:pt idx="20">
                  <c:v>110.1</c:v>
                </c:pt>
                <c:pt idx="21">
                  <c:v>110.8</c:v>
                </c:pt>
                <c:pt idx="22">
                  <c:v>109.6</c:v>
                </c:pt>
                <c:pt idx="23">
                  <c:v>109.3</c:v>
                </c:pt>
                <c:pt idx="24">
                  <c:v>109.8</c:v>
                </c:pt>
                <c:pt idx="25">
                  <c:v>109.8</c:v>
                </c:pt>
                <c:pt idx="26">
                  <c:v>108.3</c:v>
                </c:pt>
                <c:pt idx="27">
                  <c:v>108</c:v>
                </c:pt>
                <c:pt idx="28">
                  <c:v>109.3</c:v>
                </c:pt>
                <c:pt idx="29">
                  <c:v>109.8</c:v>
                </c:pt>
                <c:pt idx="30">
                  <c:v>108.8</c:v>
                </c:pt>
                <c:pt idx="31">
                  <c:v>108.3</c:v>
                </c:pt>
                <c:pt idx="32">
                  <c:v>105.6</c:v>
                </c:pt>
                <c:pt idx="33">
                  <c:v>106.7</c:v>
                </c:pt>
                <c:pt idx="34">
                  <c:v>106.3</c:v>
                </c:pt>
                <c:pt idx="35">
                  <c:v>106.4</c:v>
                </c:pt>
                <c:pt idx="36">
                  <c:v>104.9</c:v>
                </c:pt>
                <c:pt idx="37">
                  <c:v>105.8</c:v>
                </c:pt>
                <c:pt idx="38">
                  <c:v>103.5</c:v>
                </c:pt>
                <c:pt idx="39">
                  <c:v>102.9</c:v>
                </c:pt>
                <c:pt idx="4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1C-448C-9BCA-56E1B0869B98}"/>
            </c:ext>
          </c:extLst>
        </c:ser>
        <c:ser>
          <c:idx val="5"/>
          <c:order val="5"/>
          <c:tx>
            <c:strRef>
              <c:f>'5_LDR_khu_vuc'!$G$1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'5_LDR_khu_vuc'!$A$2:$A$43</c:f>
              <c:numCache>
                <c:formatCode>dd/mm/yyyy</c:formatCode>
                <c:ptCount val="4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  <c:pt idx="32">
                  <c:v>45382</c:v>
                </c:pt>
                <c:pt idx="33">
                  <c:v>45473</c:v>
                </c:pt>
                <c:pt idx="34">
                  <c:v>45565</c:v>
                </c:pt>
                <c:pt idx="35">
                  <c:v>45657</c:v>
                </c:pt>
                <c:pt idx="36">
                  <c:v>45747</c:v>
                </c:pt>
                <c:pt idx="37">
                  <c:v>45838</c:v>
                </c:pt>
                <c:pt idx="38">
                  <c:v>45930</c:v>
                </c:pt>
                <c:pt idx="39">
                  <c:v>46022</c:v>
                </c:pt>
                <c:pt idx="40">
                  <c:v>46112</c:v>
                </c:pt>
                <c:pt idx="41">
                  <c:v>46203</c:v>
                </c:pt>
              </c:numCache>
            </c:numRef>
          </c:cat>
          <c:val>
            <c:numRef>
              <c:f>'5_LDR_khu_vuc'!$G$2:$G$43</c:f>
              <c:numCache>
                <c:formatCode>#,##0.00</c:formatCode>
                <c:ptCount val="42"/>
                <c:pt idx="0">
                  <c:v>99.8</c:v>
                </c:pt>
                <c:pt idx="1">
                  <c:v>98.4</c:v>
                </c:pt>
                <c:pt idx="2">
                  <c:v>99.2</c:v>
                </c:pt>
                <c:pt idx="3">
                  <c:v>96.4</c:v>
                </c:pt>
                <c:pt idx="4">
                  <c:v>96.9</c:v>
                </c:pt>
                <c:pt idx="5">
                  <c:v>95.4</c:v>
                </c:pt>
                <c:pt idx="6">
                  <c:v>97</c:v>
                </c:pt>
                <c:pt idx="7">
                  <c:v>96.3</c:v>
                </c:pt>
                <c:pt idx="8">
                  <c:v>96.7</c:v>
                </c:pt>
                <c:pt idx="9">
                  <c:v>99.7</c:v>
                </c:pt>
                <c:pt idx="10">
                  <c:v>101.9</c:v>
                </c:pt>
                <c:pt idx="11">
                  <c:v>101.9</c:v>
                </c:pt>
                <c:pt idx="12">
                  <c:v>102.7</c:v>
                </c:pt>
                <c:pt idx="13">
                  <c:v>104.1</c:v>
                </c:pt>
                <c:pt idx="14">
                  <c:v>103.1</c:v>
                </c:pt>
                <c:pt idx="15">
                  <c:v>103</c:v>
                </c:pt>
                <c:pt idx="16">
                  <c:v>102.3</c:v>
                </c:pt>
                <c:pt idx="17">
                  <c:v>100.2</c:v>
                </c:pt>
                <c:pt idx="18">
                  <c:v>96.5</c:v>
                </c:pt>
                <c:pt idx="19">
                  <c:v>96.9</c:v>
                </c:pt>
                <c:pt idx="20">
                  <c:v>95.8</c:v>
                </c:pt>
                <c:pt idx="21">
                  <c:v>91.9</c:v>
                </c:pt>
                <c:pt idx="22">
                  <c:v>90.9</c:v>
                </c:pt>
                <c:pt idx="23">
                  <c:v>90.4</c:v>
                </c:pt>
                <c:pt idx="24">
                  <c:v>92.5</c:v>
                </c:pt>
                <c:pt idx="25">
                  <c:v>91.9</c:v>
                </c:pt>
                <c:pt idx="26">
                  <c:v>94</c:v>
                </c:pt>
                <c:pt idx="27">
                  <c:v>90.9</c:v>
                </c:pt>
                <c:pt idx="28">
                  <c:v>92.4</c:v>
                </c:pt>
                <c:pt idx="29">
                  <c:v>95.3</c:v>
                </c:pt>
                <c:pt idx="30">
                  <c:v>95.8</c:v>
                </c:pt>
                <c:pt idx="31">
                  <c:v>94.1</c:v>
                </c:pt>
                <c:pt idx="32">
                  <c:v>94.4</c:v>
                </c:pt>
                <c:pt idx="33">
                  <c:v>94.5</c:v>
                </c:pt>
                <c:pt idx="34">
                  <c:v>95.2</c:v>
                </c:pt>
                <c:pt idx="35">
                  <c:v>96.5</c:v>
                </c:pt>
                <c:pt idx="36">
                  <c:v>96.1</c:v>
                </c:pt>
                <c:pt idx="37">
                  <c:v>94.8</c:v>
                </c:pt>
                <c:pt idx="38">
                  <c:v>92</c:v>
                </c:pt>
                <c:pt idx="39">
                  <c:v>93.2</c:v>
                </c:pt>
                <c:pt idx="40">
                  <c:v>92.4</c:v>
                </c:pt>
                <c:pt idx="41">
                  <c:v>88.32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1C-448C-9BCA-56E1B0869B98}"/>
            </c:ext>
          </c:extLst>
        </c:ser>
        <c:ser>
          <c:idx val="6"/>
          <c:order val="6"/>
          <c:tx>
            <c:strRef>
              <c:f>'5_LDR_khu_vuc'!$H$1</c:f>
              <c:strCache>
                <c:ptCount val="1"/>
                <c:pt idx="0">
                  <c:v>Malaysia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'5_LDR_khu_vuc'!$A$2:$A$43</c:f>
              <c:numCache>
                <c:formatCode>dd/mm/yyyy</c:formatCode>
                <c:ptCount val="4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  <c:pt idx="32">
                  <c:v>45382</c:v>
                </c:pt>
                <c:pt idx="33">
                  <c:v>45473</c:v>
                </c:pt>
                <c:pt idx="34">
                  <c:v>45565</c:v>
                </c:pt>
                <c:pt idx="35">
                  <c:v>45657</c:v>
                </c:pt>
                <c:pt idx="36">
                  <c:v>45747</c:v>
                </c:pt>
                <c:pt idx="37">
                  <c:v>45838</c:v>
                </c:pt>
                <c:pt idx="38">
                  <c:v>45930</c:v>
                </c:pt>
                <c:pt idx="39">
                  <c:v>46022</c:v>
                </c:pt>
                <c:pt idx="40">
                  <c:v>46112</c:v>
                </c:pt>
                <c:pt idx="41">
                  <c:v>46203</c:v>
                </c:pt>
              </c:numCache>
            </c:numRef>
          </c:cat>
          <c:val>
            <c:numRef>
              <c:f>'5_LDR_khu_vuc'!$H$2:$H$43</c:f>
              <c:numCache>
                <c:formatCode>#,##0.00</c:formatCode>
                <c:ptCount val="42"/>
                <c:pt idx="0">
                  <c:v>90.7</c:v>
                </c:pt>
                <c:pt idx="1">
                  <c:v>91.6</c:v>
                </c:pt>
                <c:pt idx="2">
                  <c:v>92.6</c:v>
                </c:pt>
                <c:pt idx="3">
                  <c:v>93.9</c:v>
                </c:pt>
                <c:pt idx="4">
                  <c:v>93</c:v>
                </c:pt>
                <c:pt idx="5">
                  <c:v>93.7</c:v>
                </c:pt>
                <c:pt idx="6">
                  <c:v>93.1</c:v>
                </c:pt>
                <c:pt idx="7">
                  <c:v>94</c:v>
                </c:pt>
                <c:pt idx="8">
                  <c:v>91.9</c:v>
                </c:pt>
                <c:pt idx="9">
                  <c:v>93.5</c:v>
                </c:pt>
                <c:pt idx="10">
                  <c:v>93.7</c:v>
                </c:pt>
                <c:pt idx="11">
                  <c:v>92.5</c:v>
                </c:pt>
                <c:pt idx="12">
                  <c:v>91.8</c:v>
                </c:pt>
                <c:pt idx="13">
                  <c:v>91.8</c:v>
                </c:pt>
                <c:pt idx="14">
                  <c:v>92.2</c:v>
                </c:pt>
                <c:pt idx="15">
                  <c:v>92.9</c:v>
                </c:pt>
                <c:pt idx="16">
                  <c:v>93.4</c:v>
                </c:pt>
                <c:pt idx="17">
                  <c:v>91.6</c:v>
                </c:pt>
                <c:pt idx="18">
                  <c:v>91.1</c:v>
                </c:pt>
                <c:pt idx="19">
                  <c:v>91.4</c:v>
                </c:pt>
                <c:pt idx="20">
                  <c:v>90.9</c:v>
                </c:pt>
                <c:pt idx="21">
                  <c:v>90.8</c:v>
                </c:pt>
                <c:pt idx="22">
                  <c:v>90.2</c:v>
                </c:pt>
                <c:pt idx="23">
                  <c:v>90.3</c:v>
                </c:pt>
                <c:pt idx="24">
                  <c:v>90.9</c:v>
                </c:pt>
                <c:pt idx="25">
                  <c:v>90.9</c:v>
                </c:pt>
                <c:pt idx="26">
                  <c:v>89.8</c:v>
                </c:pt>
                <c:pt idx="27">
                  <c:v>89.9</c:v>
                </c:pt>
                <c:pt idx="28">
                  <c:v>89.5</c:v>
                </c:pt>
                <c:pt idx="29">
                  <c:v>89.9</c:v>
                </c:pt>
                <c:pt idx="30">
                  <c:v>90.6</c:v>
                </c:pt>
                <c:pt idx="31">
                  <c:v>90</c:v>
                </c:pt>
                <c:pt idx="32">
                  <c:v>90.3</c:v>
                </c:pt>
                <c:pt idx="33">
                  <c:v>91.5</c:v>
                </c:pt>
                <c:pt idx="34">
                  <c:v>92.4</c:v>
                </c:pt>
                <c:pt idx="35">
                  <c:v>92.4</c:v>
                </c:pt>
                <c:pt idx="36">
                  <c:v>92.7</c:v>
                </c:pt>
                <c:pt idx="37">
                  <c:v>93.5</c:v>
                </c:pt>
                <c:pt idx="38">
                  <c:v>92.9</c:v>
                </c:pt>
                <c:pt idx="39">
                  <c:v>93.2</c:v>
                </c:pt>
                <c:pt idx="40">
                  <c:v>93.3</c:v>
                </c:pt>
                <c:pt idx="41">
                  <c:v>88.3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1C-448C-9BCA-56E1B0869B98}"/>
            </c:ext>
          </c:extLst>
        </c:ser>
        <c:ser>
          <c:idx val="7"/>
          <c:order val="7"/>
          <c:tx>
            <c:strRef>
              <c:f>'5_LDR_khu_vuc'!$I$1</c:f>
              <c:strCache>
                <c:ptCount val="1"/>
                <c:pt idx="0">
                  <c:v>Philippines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'5_LDR_khu_vuc'!$A$2:$A$43</c:f>
              <c:numCache>
                <c:formatCode>dd/mm/yyyy</c:formatCode>
                <c:ptCount val="4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  <c:pt idx="32">
                  <c:v>45382</c:v>
                </c:pt>
                <c:pt idx="33">
                  <c:v>45473</c:v>
                </c:pt>
                <c:pt idx="34">
                  <c:v>45565</c:v>
                </c:pt>
                <c:pt idx="35">
                  <c:v>45657</c:v>
                </c:pt>
                <c:pt idx="36">
                  <c:v>45747</c:v>
                </c:pt>
                <c:pt idx="37">
                  <c:v>45838</c:v>
                </c:pt>
                <c:pt idx="38">
                  <c:v>45930</c:v>
                </c:pt>
                <c:pt idx="39">
                  <c:v>46022</c:v>
                </c:pt>
                <c:pt idx="40">
                  <c:v>46112</c:v>
                </c:pt>
                <c:pt idx="41">
                  <c:v>46203</c:v>
                </c:pt>
              </c:numCache>
            </c:numRef>
          </c:cat>
          <c:val>
            <c:numRef>
              <c:f>'5_LDR_khu_vuc'!$I$2:$I$43</c:f>
              <c:numCache>
                <c:formatCode>#,##0.00</c:formatCode>
                <c:ptCount val="42"/>
                <c:pt idx="0">
                  <c:v>76.2</c:v>
                </c:pt>
                <c:pt idx="1">
                  <c:v>77.400000000000006</c:v>
                </c:pt>
                <c:pt idx="2">
                  <c:v>76.2</c:v>
                </c:pt>
                <c:pt idx="3">
                  <c:v>76.3</c:v>
                </c:pt>
                <c:pt idx="4">
                  <c:v>76.5</c:v>
                </c:pt>
                <c:pt idx="5">
                  <c:v>76.7</c:v>
                </c:pt>
                <c:pt idx="6">
                  <c:v>77.400000000000006</c:v>
                </c:pt>
                <c:pt idx="7">
                  <c:v>79.599999999999994</c:v>
                </c:pt>
                <c:pt idx="8">
                  <c:v>79.5</c:v>
                </c:pt>
                <c:pt idx="9">
                  <c:v>80.8</c:v>
                </c:pt>
                <c:pt idx="10">
                  <c:v>81.8</c:v>
                </c:pt>
                <c:pt idx="11">
                  <c:v>82.7</c:v>
                </c:pt>
                <c:pt idx="12">
                  <c:v>82.3</c:v>
                </c:pt>
                <c:pt idx="13">
                  <c:v>83</c:v>
                </c:pt>
                <c:pt idx="14">
                  <c:v>84.4</c:v>
                </c:pt>
                <c:pt idx="15">
                  <c:v>85.2</c:v>
                </c:pt>
                <c:pt idx="16">
                  <c:v>83.6</c:v>
                </c:pt>
                <c:pt idx="17">
                  <c:v>80.400000000000006</c:v>
                </c:pt>
                <c:pt idx="18">
                  <c:v>79.3</c:v>
                </c:pt>
                <c:pt idx="19">
                  <c:v>78.2</c:v>
                </c:pt>
                <c:pt idx="20">
                  <c:v>77</c:v>
                </c:pt>
                <c:pt idx="21">
                  <c:v>76.3</c:v>
                </c:pt>
                <c:pt idx="22">
                  <c:v>75.5</c:v>
                </c:pt>
                <c:pt idx="23">
                  <c:v>74.5</c:v>
                </c:pt>
                <c:pt idx="24">
                  <c:v>74.3</c:v>
                </c:pt>
                <c:pt idx="25">
                  <c:v>75.099999999999994</c:v>
                </c:pt>
                <c:pt idx="26">
                  <c:v>75.2</c:v>
                </c:pt>
                <c:pt idx="27">
                  <c:v>74.099999999999994</c:v>
                </c:pt>
                <c:pt idx="28">
                  <c:v>73.2</c:v>
                </c:pt>
                <c:pt idx="29">
                  <c:v>75.2</c:v>
                </c:pt>
                <c:pt idx="30">
                  <c:v>75.2</c:v>
                </c:pt>
                <c:pt idx="31">
                  <c:v>76.5</c:v>
                </c:pt>
                <c:pt idx="32">
                  <c:v>75.7</c:v>
                </c:pt>
                <c:pt idx="33">
                  <c:v>76.2</c:v>
                </c:pt>
                <c:pt idx="34">
                  <c:v>79.7</c:v>
                </c:pt>
                <c:pt idx="35">
                  <c:v>79.7</c:v>
                </c:pt>
                <c:pt idx="36">
                  <c:v>81.8</c:v>
                </c:pt>
                <c:pt idx="37">
                  <c:v>80.400000000000006</c:v>
                </c:pt>
                <c:pt idx="38">
                  <c:v>81.3</c:v>
                </c:pt>
                <c:pt idx="39">
                  <c:v>82.4</c:v>
                </c:pt>
                <c:pt idx="40">
                  <c:v>81.7</c:v>
                </c:pt>
                <c:pt idx="41">
                  <c:v>79.400000000000006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1C-448C-9BCA-56E1B0869B9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20751"/>
        <c:axId val="2002973744"/>
      </c:lineChart>
      <c:dateAx>
        <c:axId val="51620751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973744"/>
        <c:crosses val="autoZero"/>
        <c:auto val="1"/>
        <c:lblOffset val="100"/>
        <c:baseTimeUnit val="months"/>
      </c:dateAx>
      <c:valAx>
        <c:axId val="200297374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16</xdr:col>
      <xdr:colOff>771525</xdr:colOff>
      <xdr:row>32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41AC3-757A-4054-BFD0-62A38F05C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419106</xdr:colOff>
      <xdr:row>1</xdr:row>
      <xdr:rowOff>95256</xdr:rowOff>
    </xdr:from>
    <xdr:to>
      <xdr:col>19</xdr:col>
      <xdr:colOff>600075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2B6DB-B3F7-DFB9-D743-395C1297B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</xdr:row>
      <xdr:rowOff>9525</xdr:rowOff>
    </xdr:from>
    <xdr:to>
      <xdr:col>9</xdr:col>
      <xdr:colOff>371475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BF7BA4-1897-4D54-BB73-DA2F728DA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19</xdr:row>
      <xdr:rowOff>128586</xdr:rowOff>
    </xdr:from>
    <xdr:to>
      <xdr:col>19</xdr:col>
      <xdr:colOff>123825</xdr:colOff>
      <xdr:row>48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5748BD-DF81-5A02-7631-6ECB4BBFE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149598</xdr:colOff>
      <xdr:row>3</xdr:row>
      <xdr:rowOff>59391</xdr:rowOff>
    </xdr:from>
    <xdr:to>
      <xdr:col>15</xdr:col>
      <xdr:colOff>291352</xdr:colOff>
      <xdr:row>38</xdr:row>
      <xdr:rowOff>49866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D720A-1657-9973-E0FB-749909AC8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0104DEA-B928-4316-95F9-781784296FD6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d2ff9d9-a976-4c83-9b13-d7ea4c703e8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E834CE0-D2CC-407F-B94A-C494C2DF476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62eb195-d9ea-4723-bdce-6d12ca01db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653-7361-4875-9EDA-8CB0F9A928CF}">
  <dimension ref="A1:V203"/>
  <sheetViews>
    <sheetView workbookViewId="0">
      <pane xSplit="1" ySplit="1" topLeftCell="B2" activePane="bottomRight" state="frozen"/>
      <selection pane="topRight"/>
      <selection pane="bottomLeft"/>
      <selection pane="bottomRight" activeCell="M36" sqref="M36"/>
    </sheetView>
  </sheetViews>
  <sheetFormatPr defaultRowHeight="15" x14ac:dyDescent="0.25"/>
  <cols>
    <col min="1" max="1" width="10.42578125" bestFit="1" customWidth="1"/>
    <col min="2" max="2" width="25.140625" bestFit="1" customWidth="1"/>
    <col min="3" max="3" width="33" bestFit="1" customWidth="1"/>
    <col min="4" max="4" width="17.5703125" bestFit="1" customWidth="1"/>
    <col min="5" max="5" width="9.42578125" bestFit="1" customWidth="1"/>
    <col min="6" max="6" width="31.42578125" bestFit="1" customWidth="1"/>
    <col min="7" max="7" width="11.85546875" bestFit="1" customWidth="1"/>
    <col min="8" max="8" width="22.85546875" bestFit="1" customWidth="1"/>
    <col min="9" max="9" width="19.28515625" bestFit="1" customWidth="1"/>
    <col min="10" max="10" width="19.28515625" customWidth="1"/>
    <col min="11" max="11" width="12" style="12" customWidth="1"/>
    <col min="12" max="12" width="30.42578125" bestFit="1" customWidth="1"/>
    <col min="13" max="13" width="26" customWidth="1"/>
    <col min="14" max="14" width="35" customWidth="1"/>
    <col min="15" max="15" width="17" customWidth="1"/>
    <col min="16" max="16" width="12" customWidth="1"/>
    <col min="17" max="17" width="36" customWidth="1"/>
    <col min="18" max="18" width="13" customWidth="1"/>
    <col min="19" max="20" width="25" customWidth="1"/>
    <col min="21" max="21" width="12" style="12" customWidth="1"/>
    <col min="22" max="22" width="42" customWidth="1"/>
  </cols>
  <sheetData>
    <row r="1" spans="1:22" x14ac:dyDescent="0.25">
      <c r="A1" s="5" t="s">
        <v>59</v>
      </c>
      <c r="B1" s="5" t="s">
        <v>63</v>
      </c>
      <c r="C1" s="5" t="s">
        <v>64</v>
      </c>
      <c r="D1" s="5" t="s">
        <v>65</v>
      </c>
      <c r="E1" s="1" t="s">
        <v>4</v>
      </c>
      <c r="F1" s="5" t="s">
        <v>66</v>
      </c>
      <c r="G1" s="1" t="s">
        <v>6</v>
      </c>
      <c r="H1" s="1" t="s">
        <v>7</v>
      </c>
      <c r="I1" s="5" t="s">
        <v>62</v>
      </c>
      <c r="J1" s="5"/>
      <c r="K1" s="9" t="s">
        <v>73</v>
      </c>
      <c r="L1" s="1" t="s">
        <v>60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/>
      <c r="U1" s="9"/>
      <c r="V1" s="1" t="s">
        <v>8</v>
      </c>
    </row>
    <row r="2" spans="1:22" x14ac:dyDescent="0.25">
      <c r="A2" s="13">
        <v>40209</v>
      </c>
      <c r="B2" s="8">
        <f>M2/M$2-1</f>
        <v>0</v>
      </c>
      <c r="C2" s="8">
        <f>N2/N$2-1</f>
        <v>0</v>
      </c>
      <c r="D2" s="8">
        <f>O2/O$2-1</f>
        <v>0</v>
      </c>
      <c r="E2" s="8">
        <f>P2/P$2-1</f>
        <v>0</v>
      </c>
      <c r="F2" s="8">
        <f>PRODUCT($K$2:K2)-1</f>
        <v>9.3281249999999094E-3</v>
      </c>
      <c r="G2" s="8">
        <f>R2/R$2-1</f>
        <v>0</v>
      </c>
      <c r="H2" s="8">
        <f>S2/S$2-1</f>
        <v>0</v>
      </c>
      <c r="I2" s="8">
        <f>T2/T$2-1</f>
        <v>0</v>
      </c>
      <c r="J2" s="8"/>
      <c r="K2" s="20">
        <f>1+Q2%/12</f>
        <v>1.0093281249999999</v>
      </c>
      <c r="L2" s="2" t="s">
        <v>61</v>
      </c>
      <c r="M2" s="2">
        <v>26420000</v>
      </c>
      <c r="N2" s="2">
        <v>23425944.427476011</v>
      </c>
      <c r="O2" s="2">
        <v>17840</v>
      </c>
      <c r="P2" s="3">
        <v>482</v>
      </c>
      <c r="Q2" s="3">
        <v>11.19375</v>
      </c>
      <c r="R2" s="2">
        <v>1951164</v>
      </c>
      <c r="S2" s="2">
        <v>1938558</v>
      </c>
      <c r="T2" s="2">
        <v>2737773.3019911121</v>
      </c>
      <c r="U2" s="10">
        <v>667335.73332287534</v>
      </c>
    </row>
    <row r="3" spans="1:22" x14ac:dyDescent="0.25">
      <c r="A3" s="13">
        <v>40237</v>
      </c>
      <c r="B3" s="8">
        <f t="shared" ref="B3:B66" si="0">M3/$M$2-1</f>
        <v>6.8130204390612903E-3</v>
      </c>
      <c r="C3" s="8">
        <f t="shared" ref="C3:C66" si="1">N3/N$2-1</f>
        <v>6.7300369198698862E-2</v>
      </c>
      <c r="D3" s="8">
        <f t="shared" ref="D3:D66" si="2">O3/O$2-1</f>
        <v>0</v>
      </c>
      <c r="E3" s="8">
        <f t="shared" ref="E3:E66" si="3">P3/P$2-1</f>
        <v>3.0912863070539309E-2</v>
      </c>
      <c r="F3" s="8">
        <f>PRODUCT($K$2:K3)-1</f>
        <v>1.874326391601544E-2</v>
      </c>
      <c r="G3" s="8">
        <f t="shared" ref="G3:G66" si="4">R3/R$2-1</f>
        <v>9.8607805392063597E-3</v>
      </c>
      <c r="H3" s="8">
        <f t="shared" ref="H3:H66" si="5">S3/S$2-1</f>
        <v>1.1370307207728692E-2</v>
      </c>
      <c r="I3" s="8">
        <f t="shared" ref="I3:I66" si="6">T3/T$2-1</f>
        <v>0</v>
      </c>
      <c r="J3" s="8"/>
      <c r="K3" s="20">
        <f t="shared" ref="K3:K66" si="7">1+Q3%/12</f>
        <v>1.0093281249999999</v>
      </c>
      <c r="L3" s="2" t="s">
        <v>61</v>
      </c>
      <c r="M3" s="2">
        <v>26600000</v>
      </c>
      <c r="N3" s="2">
        <v>25002519.136273351</v>
      </c>
      <c r="O3" s="2">
        <v>17840</v>
      </c>
      <c r="P3" s="3">
        <v>496.9</v>
      </c>
      <c r="Q3" s="3">
        <v>11.19375</v>
      </c>
      <c r="R3" s="2">
        <v>1970404</v>
      </c>
      <c r="S3" s="2">
        <v>1960600</v>
      </c>
      <c r="T3" s="2">
        <v>2737773.3019911121</v>
      </c>
      <c r="U3" s="11">
        <f>IF(_xlfn.NUMBERVALUE(L3)&gt;0,L3,U2)</f>
        <v>667335.73332287534</v>
      </c>
    </row>
    <row r="4" spans="1:22" x14ac:dyDescent="0.25">
      <c r="A4" s="13">
        <v>40268</v>
      </c>
      <c r="B4" s="8">
        <f t="shared" si="0"/>
        <v>-1.097653292959877E-2</v>
      </c>
      <c r="C4" s="8">
        <f t="shared" si="1"/>
        <v>6.2528392436661306E-2</v>
      </c>
      <c r="D4" s="8">
        <f t="shared" si="2"/>
        <v>0</v>
      </c>
      <c r="E4" s="8">
        <f t="shared" si="3"/>
        <v>3.5684647302904438E-2</v>
      </c>
      <c r="F4" s="8">
        <f>PRODUCT($K$2:K4)-1</f>
        <v>2.8246228424732012E-2</v>
      </c>
      <c r="G4" s="8">
        <f t="shared" si="4"/>
        <v>1.089042233251547E-2</v>
      </c>
      <c r="H4" s="8">
        <f t="shared" si="5"/>
        <v>3.0720257015781849E-2</v>
      </c>
      <c r="I4" s="8">
        <f t="shared" si="6"/>
        <v>0</v>
      </c>
      <c r="J4" s="8"/>
      <c r="K4" s="20">
        <f t="shared" si="7"/>
        <v>1.0093281249999999</v>
      </c>
      <c r="L4" s="2">
        <v>667335.73332287534</v>
      </c>
      <c r="M4" s="2">
        <v>26130000</v>
      </c>
      <c r="N4" s="2">
        <v>24890731.073836651</v>
      </c>
      <c r="O4" s="2">
        <v>17840</v>
      </c>
      <c r="P4" s="3">
        <v>499.2</v>
      </c>
      <c r="Q4" s="3">
        <v>11.19375</v>
      </c>
      <c r="R4" s="2">
        <v>1972413</v>
      </c>
      <c r="S4" s="2">
        <v>1998111</v>
      </c>
      <c r="T4" s="2">
        <v>2737773.3019911121</v>
      </c>
      <c r="U4" s="11">
        <f>IF(_xlfn.NUMBERVALUE(L4)&gt;0,L4,U3)</f>
        <v>667335.73332287534</v>
      </c>
    </row>
    <row r="5" spans="1:22" x14ac:dyDescent="0.25">
      <c r="A5" s="13">
        <v>40298</v>
      </c>
      <c r="B5" s="8">
        <f t="shared" si="0"/>
        <v>5.2990158970476209E-3</v>
      </c>
      <c r="C5" s="8">
        <f t="shared" si="1"/>
        <v>0.12628193207548266</v>
      </c>
      <c r="D5" s="8">
        <f t="shared" si="2"/>
        <v>0</v>
      </c>
      <c r="E5" s="8">
        <f t="shared" si="3"/>
        <v>0.12531120331950207</v>
      </c>
      <c r="F5" s="8">
        <f>PRODUCT($K$2:K5)-1</f>
        <v>3.7837837774256311E-2</v>
      </c>
      <c r="G5" s="8">
        <f t="shared" si="4"/>
        <v>4.0408699627504374E-2</v>
      </c>
      <c r="H5" s="8">
        <f t="shared" si="5"/>
        <v>5.3062121432528642E-2</v>
      </c>
      <c r="I5" s="8">
        <f t="shared" si="6"/>
        <v>0</v>
      </c>
      <c r="J5" s="8"/>
      <c r="K5" s="20">
        <f t="shared" si="7"/>
        <v>1.0093281249999999</v>
      </c>
      <c r="L5" s="2" t="s">
        <v>61</v>
      </c>
      <c r="M5" s="2">
        <v>26560000</v>
      </c>
      <c r="N5" s="2">
        <v>26384217.95047057</v>
      </c>
      <c r="O5" s="2">
        <v>17840</v>
      </c>
      <c r="P5" s="3">
        <v>542.4</v>
      </c>
      <c r="Q5" s="3">
        <v>11.19375</v>
      </c>
      <c r="R5" s="2">
        <v>2030008</v>
      </c>
      <c r="S5" s="2">
        <v>2041422</v>
      </c>
      <c r="T5" s="2">
        <v>2737773.3019911121</v>
      </c>
      <c r="U5" s="11">
        <f>IF(_xlfn.NUMBERVALUE(L5)&gt;0,L5,U4)</f>
        <v>667335.73332287534</v>
      </c>
    </row>
    <row r="6" spans="1:22" x14ac:dyDescent="0.25">
      <c r="A6" s="13">
        <v>40329</v>
      </c>
      <c r="B6" s="8">
        <f t="shared" si="0"/>
        <v>4.9205147615442923E-2</v>
      </c>
      <c r="C6" s="8">
        <f t="shared" si="1"/>
        <v>0.15691799958709662</v>
      </c>
      <c r="D6" s="8">
        <f t="shared" si="2"/>
        <v>0</v>
      </c>
      <c r="E6" s="8">
        <f t="shared" si="3"/>
        <v>5.2697095435684682E-2</v>
      </c>
      <c r="F6" s="8">
        <f>PRODUCT($K$2:K6)-1</f>
        <v>4.7518918854744241E-2</v>
      </c>
      <c r="G6" s="8">
        <f t="shared" si="4"/>
        <v>6.579457185556925E-2</v>
      </c>
      <c r="H6" s="8">
        <f t="shared" si="5"/>
        <v>7.2648845172545773E-2</v>
      </c>
      <c r="I6" s="8">
        <f t="shared" si="6"/>
        <v>0</v>
      </c>
      <c r="J6" s="8"/>
      <c r="K6" s="20">
        <f t="shared" si="7"/>
        <v>1.0093281249999999</v>
      </c>
      <c r="L6" s="2" t="s">
        <v>61</v>
      </c>
      <c r="M6" s="2">
        <v>27720000</v>
      </c>
      <c r="N6" s="2">
        <v>27101896.76547404</v>
      </c>
      <c r="O6" s="2">
        <v>17840</v>
      </c>
      <c r="P6" s="3">
        <v>507.4</v>
      </c>
      <c r="Q6" s="3">
        <v>11.19375</v>
      </c>
      <c r="R6" s="2">
        <v>2079540</v>
      </c>
      <c r="S6" s="2">
        <v>2079392</v>
      </c>
      <c r="T6" s="2">
        <v>2737773.3019911121</v>
      </c>
      <c r="U6" s="11">
        <f>IF(_xlfn.NUMBERVALUE(L6)&gt;0,L6,U5)</f>
        <v>667335.73332287534</v>
      </c>
    </row>
    <row r="7" spans="1:22" x14ac:dyDescent="0.25">
      <c r="A7" s="13">
        <v>40359</v>
      </c>
      <c r="B7" s="8">
        <f t="shared" si="0"/>
        <v>8.251324753974254E-2</v>
      </c>
      <c r="C7" s="8">
        <f t="shared" si="1"/>
        <v>0.18869941142360402</v>
      </c>
      <c r="D7" s="8">
        <f t="shared" si="2"/>
        <v>0</v>
      </c>
      <c r="E7" s="8">
        <f t="shared" si="3"/>
        <v>5.2074688796680535E-2</v>
      </c>
      <c r="F7" s="8">
        <f>PRODUCT($K$2:K7)-1</f>
        <v>5.729030626968612E-2</v>
      </c>
      <c r="G7" s="8">
        <f t="shared" si="4"/>
        <v>9.0308144266704415E-2</v>
      </c>
      <c r="H7" s="8">
        <f t="shared" si="5"/>
        <v>0.10213416364122208</v>
      </c>
      <c r="I7" s="8">
        <f t="shared" si="6"/>
        <v>0</v>
      </c>
      <c r="J7" s="8"/>
      <c r="K7" s="20">
        <f t="shared" si="7"/>
        <v>1.0093281249999999</v>
      </c>
      <c r="L7" s="2">
        <v>694734.71178654779</v>
      </c>
      <c r="M7" s="2">
        <v>28600000</v>
      </c>
      <c r="N7" s="2">
        <v>27846406.352982789</v>
      </c>
      <c r="O7" s="2">
        <v>17840</v>
      </c>
      <c r="P7" s="3">
        <v>507.1</v>
      </c>
      <c r="Q7" s="3">
        <v>11.19375</v>
      </c>
      <c r="R7" s="2">
        <v>2127370</v>
      </c>
      <c r="S7" s="2">
        <v>2136551</v>
      </c>
      <c r="T7" s="2">
        <v>2737773.3019911121</v>
      </c>
      <c r="U7" s="11">
        <f>IF(_xlfn.NUMBERVALUE(L7)&gt;0,L7,U6)</f>
        <v>694734.71178654779</v>
      </c>
    </row>
    <row r="8" spans="1:22" x14ac:dyDescent="0.25">
      <c r="A8" s="13">
        <v>40390</v>
      </c>
      <c r="B8" s="8">
        <f t="shared" si="0"/>
        <v>5.1097653292959899E-2</v>
      </c>
      <c r="C8" s="8">
        <f t="shared" si="1"/>
        <v>0.12780894133866627</v>
      </c>
      <c r="D8" s="8">
        <f t="shared" si="2"/>
        <v>0</v>
      </c>
      <c r="E8" s="8">
        <f t="shared" si="3"/>
        <v>2.4688796680497838E-2</v>
      </c>
      <c r="F8" s="8">
        <f>PRODUCT($K$2:K8)-1</f>
        <v>6.7152842407858016E-2</v>
      </c>
      <c r="G8" s="8">
        <f t="shared" si="4"/>
        <v>0.12509968408601235</v>
      </c>
      <c r="H8" s="8">
        <f t="shared" si="5"/>
        <v>0.1267705170544291</v>
      </c>
      <c r="I8" s="8">
        <f t="shared" si="6"/>
        <v>0</v>
      </c>
      <c r="J8" s="8"/>
      <c r="K8" s="20">
        <f t="shared" si="7"/>
        <v>1.0093281249999999</v>
      </c>
      <c r="L8" s="2" t="s">
        <v>61</v>
      </c>
      <c r="M8" s="2">
        <v>27770000</v>
      </c>
      <c r="N8" s="2">
        <v>26419989.584610149</v>
      </c>
      <c r="O8" s="2">
        <v>17840</v>
      </c>
      <c r="P8" s="3">
        <v>493.9</v>
      </c>
      <c r="Q8" s="3">
        <v>11.19375</v>
      </c>
      <c r="R8" s="2">
        <v>2195254</v>
      </c>
      <c r="S8" s="2">
        <v>2184310</v>
      </c>
      <c r="T8" s="2">
        <v>2737773.3019911121</v>
      </c>
      <c r="U8" s="11">
        <f>IF(_xlfn.NUMBERVALUE(L8)&gt;0,L8,U7)</f>
        <v>694734.71178654779</v>
      </c>
    </row>
    <row r="9" spans="1:22" x14ac:dyDescent="0.25">
      <c r="A9" s="13">
        <v>40421</v>
      </c>
      <c r="B9" s="8">
        <f t="shared" si="0"/>
        <v>9.5760787282361814E-2</v>
      </c>
      <c r="C9" s="8">
        <f t="shared" si="1"/>
        <v>0.21629908623819749</v>
      </c>
      <c r="D9" s="8">
        <f t="shared" si="2"/>
        <v>0</v>
      </c>
      <c r="E9" s="8">
        <f t="shared" si="3"/>
        <v>-5.5809128630705307E-2</v>
      </c>
      <c r="F9" s="8">
        <f>PRODUCT($K$2:K9)-1</f>
        <v>7.7107377515943654E-2</v>
      </c>
      <c r="G9" s="8">
        <f t="shared" si="4"/>
        <v>0.15846592085544842</v>
      </c>
      <c r="H9" s="8">
        <f t="shared" si="5"/>
        <v>0.15968467283413745</v>
      </c>
      <c r="I9" s="8">
        <f t="shared" si="6"/>
        <v>0</v>
      </c>
      <c r="J9" s="8"/>
      <c r="K9" s="20">
        <f t="shared" si="7"/>
        <v>1.0093281249999999</v>
      </c>
      <c r="L9" s="2" t="s">
        <v>61</v>
      </c>
      <c r="M9" s="2">
        <v>28950000</v>
      </c>
      <c r="N9" s="2">
        <v>28492954.801405869</v>
      </c>
      <c r="O9" s="2">
        <v>17840</v>
      </c>
      <c r="P9" s="3">
        <v>455.1</v>
      </c>
      <c r="Q9" s="3">
        <v>11.19375</v>
      </c>
      <c r="R9" s="2">
        <v>2260357</v>
      </c>
      <c r="S9" s="2">
        <v>2248116</v>
      </c>
      <c r="T9" s="2">
        <v>2737773.3019911121</v>
      </c>
      <c r="U9" s="11">
        <f>IF(_xlfn.NUMBERVALUE(L9)&gt;0,L9,U8)</f>
        <v>694734.71178654779</v>
      </c>
    </row>
    <row r="10" spans="1:22" x14ac:dyDescent="0.25">
      <c r="A10" s="13">
        <v>40451</v>
      </c>
      <c r="B10" s="8">
        <f t="shared" si="0"/>
        <v>0.18281604844814536</v>
      </c>
      <c r="C10" s="8">
        <f t="shared" si="1"/>
        <v>0.27427376604303433</v>
      </c>
      <c r="D10" s="8">
        <f t="shared" si="2"/>
        <v>0</v>
      </c>
      <c r="E10" s="8">
        <f t="shared" si="3"/>
        <v>-5.7053941908713712E-2</v>
      </c>
      <c r="F10" s="8">
        <f>PRODUCT($K$2:K10)-1</f>
        <v>8.7154769771834451E-2</v>
      </c>
      <c r="G10" s="8">
        <f t="shared" si="4"/>
        <v>0.1852591581230485</v>
      </c>
      <c r="H10" s="8">
        <f t="shared" si="5"/>
        <v>0.19190088715426623</v>
      </c>
      <c r="I10" s="8">
        <f t="shared" si="6"/>
        <v>0</v>
      </c>
      <c r="J10" s="8"/>
      <c r="K10" s="20">
        <f t="shared" si="7"/>
        <v>1.0093281249999999</v>
      </c>
      <c r="L10" s="2">
        <v>708367.12355881359</v>
      </c>
      <c r="M10" s="2">
        <v>31250000</v>
      </c>
      <c r="N10" s="2">
        <v>29851066.428714689</v>
      </c>
      <c r="O10" s="2">
        <v>17840</v>
      </c>
      <c r="P10" s="3">
        <v>454.5</v>
      </c>
      <c r="Q10" s="3">
        <v>11.19375</v>
      </c>
      <c r="R10" s="2">
        <v>2312635</v>
      </c>
      <c r="S10" s="2">
        <v>2310569</v>
      </c>
      <c r="T10" s="2">
        <v>2737773.3019911121</v>
      </c>
      <c r="U10" s="11">
        <f>IF(_xlfn.NUMBERVALUE(L10)&gt;0,L10,U9)</f>
        <v>708367.12355881359</v>
      </c>
    </row>
    <row r="11" spans="1:22" x14ac:dyDescent="0.25">
      <c r="A11" s="13">
        <v>40482</v>
      </c>
      <c r="B11" s="8">
        <f t="shared" si="0"/>
        <v>0.26419379258137776</v>
      </c>
      <c r="C11" s="8">
        <f t="shared" si="1"/>
        <v>0.32230985794532185</v>
      </c>
      <c r="D11" s="8">
        <f t="shared" si="2"/>
        <v>9.1647982062780242E-2</v>
      </c>
      <c r="E11" s="8">
        <f t="shared" si="3"/>
        <v>-6.0995850622406644E-2</v>
      </c>
      <c r="F11" s="8">
        <f>PRODUCT($K$2:K11)-1</f>
        <v>9.7295885358612333E-2</v>
      </c>
      <c r="G11" s="8">
        <f t="shared" si="4"/>
        <v>0.21015916652828781</v>
      </c>
      <c r="H11" s="8">
        <f t="shared" si="5"/>
        <v>0.22499971628395943</v>
      </c>
      <c r="I11" s="8">
        <f t="shared" si="6"/>
        <v>0</v>
      </c>
      <c r="J11" s="8"/>
      <c r="K11" s="20">
        <f t="shared" si="7"/>
        <v>1.0093281249999999</v>
      </c>
      <c r="L11" s="2" t="s">
        <v>61</v>
      </c>
      <c r="M11" s="2">
        <v>33400000</v>
      </c>
      <c r="N11" s="2">
        <v>30976357.24813081</v>
      </c>
      <c r="O11" s="2">
        <v>19475</v>
      </c>
      <c r="P11" s="3">
        <v>452.6</v>
      </c>
      <c r="Q11" s="3">
        <v>11.19375</v>
      </c>
      <c r="R11" s="2">
        <v>2361219</v>
      </c>
      <c r="S11" s="2">
        <v>2374733</v>
      </c>
      <c r="T11" s="2">
        <f>U11+U8+U5+U2</f>
        <v>2737773.3019911121</v>
      </c>
      <c r="U11" s="11">
        <f>IF(_xlfn.NUMBERVALUE(L11)&gt;0,L11,U10)</f>
        <v>708367.12355881359</v>
      </c>
    </row>
    <row r="12" spans="1:22" x14ac:dyDescent="0.25">
      <c r="A12" s="13">
        <v>40512</v>
      </c>
      <c r="B12" s="8">
        <f t="shared" si="0"/>
        <v>0.36071158213474641</v>
      </c>
      <c r="C12" s="8">
        <f t="shared" si="1"/>
        <v>0.349494647557967</v>
      </c>
      <c r="D12" s="8">
        <f t="shared" si="2"/>
        <v>9.1647982062780242E-2</v>
      </c>
      <c r="E12" s="8">
        <f t="shared" si="3"/>
        <v>-6.3070539419087135E-2</v>
      </c>
      <c r="F12" s="8">
        <f>PRODUCT($K$2:K12)-1</f>
        <v>0.10753159853922312</v>
      </c>
      <c r="G12" s="8">
        <f t="shared" si="4"/>
        <v>0.23007958326414379</v>
      </c>
      <c r="H12" s="8">
        <f t="shared" si="5"/>
        <v>0.24177146105507297</v>
      </c>
      <c r="I12" s="8">
        <f t="shared" si="6"/>
        <v>0</v>
      </c>
      <c r="J12" s="8"/>
      <c r="K12" s="20">
        <f t="shared" si="7"/>
        <v>1.0093281249999999</v>
      </c>
      <c r="L12" s="2" t="s">
        <v>61</v>
      </c>
      <c r="M12" s="2">
        <v>35950000</v>
      </c>
      <c r="N12" s="2">
        <v>31613186.61886926</v>
      </c>
      <c r="O12" s="2">
        <v>19475</v>
      </c>
      <c r="P12" s="3">
        <v>451.6</v>
      </c>
      <c r="Q12" s="3">
        <v>11.19375</v>
      </c>
      <c r="R12" s="2">
        <v>2400087</v>
      </c>
      <c r="S12" s="2">
        <v>2407246</v>
      </c>
      <c r="T12" s="2">
        <f>U12+U9+U6+U3</f>
        <v>2737773.3019911121</v>
      </c>
      <c r="U12" s="11">
        <f>IF(_xlfn.NUMBERVALUE(L12)&gt;0,L12,U11)</f>
        <v>708367.12355881359</v>
      </c>
    </row>
    <row r="13" spans="1:22" x14ac:dyDescent="0.25">
      <c r="A13" s="13">
        <v>40543</v>
      </c>
      <c r="B13" s="8">
        <f t="shared" si="0"/>
        <v>0.36260408781226339</v>
      </c>
      <c r="C13" s="8">
        <f t="shared" si="1"/>
        <v>0.38466917739926387</v>
      </c>
      <c r="D13" s="8">
        <f t="shared" si="2"/>
        <v>9.1647982062780242E-2</v>
      </c>
      <c r="E13" s="8">
        <f t="shared" si="3"/>
        <v>5.6016597510373245E-3</v>
      </c>
      <c r="F13" s="8">
        <f>PRODUCT($K$2:K13)-1</f>
        <v>0.11786279173184666</v>
      </c>
      <c r="G13" s="8">
        <f t="shared" si="4"/>
        <v>0.25</v>
      </c>
      <c r="H13" s="8">
        <f t="shared" si="5"/>
        <v>0.29553152394718141</v>
      </c>
      <c r="I13" s="8">
        <f t="shared" si="6"/>
        <v>2.6739089628849522E-2</v>
      </c>
      <c r="J13" s="8"/>
      <c r="K13" s="20">
        <f t="shared" si="7"/>
        <v>1.0093281249999999</v>
      </c>
      <c r="L13" s="2">
        <v>740541.29902828659</v>
      </c>
      <c r="M13" s="2">
        <v>36000000</v>
      </c>
      <c r="N13" s="2">
        <v>32437183.200194079</v>
      </c>
      <c r="O13" s="2">
        <v>19475</v>
      </c>
      <c r="P13" s="3">
        <v>484.7</v>
      </c>
      <c r="Q13" s="3">
        <v>11.19375</v>
      </c>
      <c r="R13" s="2">
        <v>2438955</v>
      </c>
      <c r="S13" s="2">
        <v>2511463</v>
      </c>
      <c r="T13" s="2">
        <f>U13+U10+U7+U4</f>
        <v>2810978.8676965237</v>
      </c>
      <c r="U13" s="11">
        <f>IF(_xlfn.NUMBERVALUE(L13)&gt;0,L13,U12)</f>
        <v>740541.29902828659</v>
      </c>
    </row>
    <row r="14" spans="1:22" x14ac:dyDescent="0.25">
      <c r="A14" s="13">
        <v>40574</v>
      </c>
      <c r="B14" s="8">
        <f t="shared" si="0"/>
        <v>0.34519303557910663</v>
      </c>
      <c r="C14" s="8">
        <f t="shared" si="1"/>
        <v>0.29960723957119817</v>
      </c>
      <c r="D14" s="8">
        <f t="shared" si="2"/>
        <v>9.1647982062780242E-2</v>
      </c>
      <c r="E14" s="8">
        <f t="shared" si="3"/>
        <v>5.9336099585062252E-2</v>
      </c>
      <c r="F14" s="8">
        <f>PRODUCT($K$2:K14)-1</f>
        <v>0.13089846921192971</v>
      </c>
      <c r="G14" s="8">
        <f t="shared" si="4"/>
        <v>0.26129325879321263</v>
      </c>
      <c r="H14" s="8">
        <f t="shared" si="5"/>
        <v>0.31149287253721591</v>
      </c>
      <c r="I14" s="8">
        <f t="shared" si="6"/>
        <v>2.6739089628849522E-2</v>
      </c>
      <c r="J14" s="8"/>
      <c r="K14" s="20">
        <f t="shared" si="7"/>
        <v>1.01166125</v>
      </c>
      <c r="L14" s="2" t="s">
        <v>61</v>
      </c>
      <c r="M14" s="2">
        <v>35540000</v>
      </c>
      <c r="N14" s="2">
        <v>30444526.971740391</v>
      </c>
      <c r="O14" s="2">
        <v>19475</v>
      </c>
      <c r="P14" s="3">
        <v>510.6</v>
      </c>
      <c r="Q14" s="3">
        <v>13.993499999999999</v>
      </c>
      <c r="R14" s="2">
        <v>2460990</v>
      </c>
      <c r="S14" s="2">
        <v>2542405</v>
      </c>
      <c r="T14" s="2">
        <f t="shared" ref="T14:T77" si="8">U14+U11+U8+U5</f>
        <v>2810978.8676965237</v>
      </c>
      <c r="U14" s="11">
        <f>IF(_xlfn.NUMBERVALUE(L14)&gt;0,L14,U13)</f>
        <v>740541.29902828659</v>
      </c>
    </row>
    <row r="15" spans="1:22" x14ac:dyDescent="0.25">
      <c r="A15" s="13">
        <v>40602</v>
      </c>
      <c r="B15" s="8">
        <f t="shared" si="0"/>
        <v>0.42278576835730508</v>
      </c>
      <c r="C15" s="8">
        <f t="shared" si="1"/>
        <v>0.37317174923952079</v>
      </c>
      <c r="D15" s="8">
        <f t="shared" si="2"/>
        <v>9.1647982062780242E-2</v>
      </c>
      <c r="E15" s="8">
        <f t="shared" si="3"/>
        <v>-4.2738589211618327E-2</v>
      </c>
      <c r="F15" s="8">
        <f>PRODUCT($K$2:K15)-1</f>
        <v>0.14408615898602717</v>
      </c>
      <c r="G15" s="8">
        <f t="shared" si="4"/>
        <v>0.28437486546492252</v>
      </c>
      <c r="H15" s="8">
        <f t="shared" si="5"/>
        <v>0.33064061018550905</v>
      </c>
      <c r="I15" s="8">
        <f t="shared" si="6"/>
        <v>2.6739089628849522E-2</v>
      </c>
      <c r="J15" s="8"/>
      <c r="K15" s="20">
        <f t="shared" si="7"/>
        <v>1.01166125</v>
      </c>
      <c r="L15" s="2" t="s">
        <v>61</v>
      </c>
      <c r="M15" s="2">
        <v>37590000</v>
      </c>
      <c r="N15" s="2">
        <v>32167845.087065041</v>
      </c>
      <c r="O15" s="2">
        <v>19475</v>
      </c>
      <c r="P15" s="3">
        <v>461.4</v>
      </c>
      <c r="Q15" s="3">
        <v>13.993499999999999</v>
      </c>
      <c r="R15" s="2">
        <v>2506026</v>
      </c>
      <c r="S15" s="2">
        <v>2579524</v>
      </c>
      <c r="T15" s="2">
        <f t="shared" si="8"/>
        <v>2810978.8676965237</v>
      </c>
      <c r="U15" s="11">
        <f>IF(_xlfn.NUMBERVALUE(L15)&gt;0,L15,U14)</f>
        <v>740541.29902828659</v>
      </c>
    </row>
    <row r="16" spans="1:22" x14ac:dyDescent="0.25">
      <c r="A16" s="13">
        <v>40633</v>
      </c>
      <c r="B16" s="8">
        <f t="shared" si="0"/>
        <v>0.3978046934140802</v>
      </c>
      <c r="C16" s="8">
        <f t="shared" si="1"/>
        <v>0.53316465720456141</v>
      </c>
      <c r="D16" s="8">
        <f t="shared" si="2"/>
        <v>0.16661995515695072</v>
      </c>
      <c r="E16" s="8">
        <f t="shared" si="3"/>
        <v>-4.3360995850622364E-2</v>
      </c>
      <c r="F16" s="8">
        <f>PRODUCT($K$2:K16)-1</f>
        <v>0.1574276337075029</v>
      </c>
      <c r="G16" s="8">
        <f t="shared" si="4"/>
        <v>0.3054387022310785</v>
      </c>
      <c r="H16" s="8">
        <f t="shared" si="5"/>
        <v>0.36030802276743845</v>
      </c>
      <c r="I16" s="8">
        <f t="shared" si="6"/>
        <v>8.1883640772840938E-2</v>
      </c>
      <c r="J16" s="8"/>
      <c r="K16" s="20">
        <f t="shared" si="7"/>
        <v>1.01166125</v>
      </c>
      <c r="L16" s="2">
        <v>818309.01319517894</v>
      </c>
      <c r="M16" s="2">
        <v>36930000</v>
      </c>
      <c r="N16" s="2">
        <v>35915830.057844363</v>
      </c>
      <c r="O16" s="2">
        <v>20812.5</v>
      </c>
      <c r="P16" s="3">
        <v>461.1</v>
      </c>
      <c r="Q16" s="3">
        <v>13.993499999999999</v>
      </c>
      <c r="R16" s="2">
        <v>2547125</v>
      </c>
      <c r="S16" s="2">
        <v>2637036</v>
      </c>
      <c r="T16" s="2">
        <f t="shared" si="8"/>
        <v>2961952.147568827</v>
      </c>
      <c r="U16" s="11">
        <f>IF(_xlfn.NUMBERVALUE(L16)&gt;0,L16,U15)</f>
        <v>818309.01319517894</v>
      </c>
      <c r="V16" s="3">
        <v>5.8966011415600086</v>
      </c>
    </row>
    <row r="17" spans="1:22" x14ac:dyDescent="0.25">
      <c r="A17" s="13">
        <v>40663</v>
      </c>
      <c r="B17" s="8">
        <f t="shared" si="0"/>
        <v>0.43035579106737321</v>
      </c>
      <c r="C17" s="8">
        <f t="shared" si="1"/>
        <v>0.65753562912147179</v>
      </c>
      <c r="D17" s="8">
        <f t="shared" si="2"/>
        <v>0.16661995515695072</v>
      </c>
      <c r="E17" s="8">
        <f t="shared" si="3"/>
        <v>-3.9419087136929321E-3</v>
      </c>
      <c r="F17" s="8">
        <f>PRODUCT($K$2:K17)-1</f>
        <v>0.17092468670107452</v>
      </c>
      <c r="G17" s="8">
        <f t="shared" si="4"/>
        <v>0.27474984163299454</v>
      </c>
      <c r="H17" s="8">
        <f t="shared" si="5"/>
        <v>0.36082644935049668</v>
      </c>
      <c r="I17" s="8">
        <f t="shared" si="6"/>
        <v>8.1883640772840938E-2</v>
      </c>
      <c r="J17" s="8"/>
      <c r="K17" s="20">
        <f t="shared" si="7"/>
        <v>1.01166125</v>
      </c>
      <c r="L17" s="2" t="s">
        <v>61</v>
      </c>
      <c r="M17" s="2">
        <v>37790000</v>
      </c>
      <c r="N17" s="2">
        <v>38829337.534361087</v>
      </c>
      <c r="O17" s="2">
        <v>20812.5</v>
      </c>
      <c r="P17" s="3">
        <v>480.1</v>
      </c>
      <c r="Q17" s="3">
        <v>13.993499999999999</v>
      </c>
      <c r="R17" s="2">
        <v>2487246</v>
      </c>
      <c r="S17" s="2">
        <v>2638041</v>
      </c>
      <c r="T17" s="2">
        <f t="shared" si="8"/>
        <v>2961952.147568827</v>
      </c>
      <c r="U17" s="11">
        <f>IF(_xlfn.NUMBERVALUE(L17)&gt;0,L17,U16)</f>
        <v>818309.01319517894</v>
      </c>
    </row>
    <row r="18" spans="1:22" x14ac:dyDescent="0.25">
      <c r="A18" s="13">
        <v>40694</v>
      </c>
      <c r="B18" s="8">
        <f t="shared" si="0"/>
        <v>0.43338380015140054</v>
      </c>
      <c r="C18" s="8">
        <f t="shared" si="1"/>
        <v>0.63177643494630353</v>
      </c>
      <c r="D18" s="8">
        <f t="shared" si="2"/>
        <v>0.16661995515695072</v>
      </c>
      <c r="E18" s="8">
        <f t="shared" si="3"/>
        <v>-0.12572614107883817</v>
      </c>
      <c r="F18" s="8">
        <f>PRODUCT($K$2:K18)-1</f>
        <v>0.18457913220386746</v>
      </c>
      <c r="G18" s="8">
        <f t="shared" si="4"/>
        <v>0.27599986469615057</v>
      </c>
      <c r="H18" s="8">
        <f t="shared" si="5"/>
        <v>0.38518218180730224</v>
      </c>
      <c r="I18" s="8">
        <f t="shared" si="6"/>
        <v>8.1883640772840938E-2</v>
      </c>
      <c r="J18" s="8"/>
      <c r="K18" s="20">
        <f t="shared" si="7"/>
        <v>1.01166125</v>
      </c>
      <c r="L18" s="2" t="s">
        <v>61</v>
      </c>
      <c r="M18" s="2">
        <v>37870000</v>
      </c>
      <c r="N18" s="2">
        <v>38225904.083117031</v>
      </c>
      <c r="O18" s="2">
        <v>20812.5</v>
      </c>
      <c r="P18" s="3">
        <v>421.4</v>
      </c>
      <c r="Q18" s="3">
        <v>13.993499999999999</v>
      </c>
      <c r="R18" s="2">
        <v>2489685</v>
      </c>
      <c r="S18" s="2">
        <v>2685256</v>
      </c>
      <c r="T18" s="2">
        <f t="shared" si="8"/>
        <v>2961952.147568827</v>
      </c>
      <c r="U18" s="11">
        <f>IF(_xlfn.NUMBERVALUE(L18)&gt;0,L18,U17)</f>
        <v>818309.01319517894</v>
      </c>
    </row>
    <row r="19" spans="1:22" x14ac:dyDescent="0.25">
      <c r="A19" s="13">
        <v>40724</v>
      </c>
      <c r="B19" s="8">
        <f t="shared" si="0"/>
        <v>0.43111279333838004</v>
      </c>
      <c r="C19" s="8">
        <f t="shared" si="1"/>
        <v>0.59414607358171367</v>
      </c>
      <c r="D19" s="8">
        <f t="shared" si="2"/>
        <v>0.16661995515695072</v>
      </c>
      <c r="E19" s="8">
        <f t="shared" si="3"/>
        <v>-0.10269709543568462</v>
      </c>
      <c r="F19" s="8">
        <f>PRODUCT($K$2:K19)-1</f>
        <v>0.19839280560927985</v>
      </c>
      <c r="G19" s="8">
        <f t="shared" si="4"/>
        <v>0.27599986469615057</v>
      </c>
      <c r="H19" s="8">
        <f t="shared" si="5"/>
        <v>0.38518218180730224</v>
      </c>
      <c r="I19" s="8">
        <f t="shared" si="6"/>
        <v>0.14651973748439739</v>
      </c>
      <c r="J19" s="8"/>
      <c r="K19" s="20">
        <f t="shared" si="7"/>
        <v>1.01166125</v>
      </c>
      <c r="L19" s="2">
        <v>871693.69170836208</v>
      </c>
      <c r="M19" s="2">
        <v>37810000</v>
      </c>
      <c r="N19" s="2">
        <v>37344377.32900431</v>
      </c>
      <c r="O19" s="2">
        <v>20812.5</v>
      </c>
      <c r="P19" s="3">
        <v>432.5</v>
      </c>
      <c r="Q19" s="3">
        <v>13.993499999999999</v>
      </c>
      <c r="R19" s="2">
        <v>2489685</v>
      </c>
      <c r="S19" s="2">
        <v>2685256</v>
      </c>
      <c r="T19" s="2">
        <f t="shared" si="8"/>
        <v>3138911.1274906415</v>
      </c>
      <c r="U19" s="11">
        <f>IF(_xlfn.NUMBERVALUE(L19)&gt;0,L19,U18)</f>
        <v>871693.69170836208</v>
      </c>
      <c r="V19" s="3">
        <v>5.9335503053891347</v>
      </c>
    </row>
    <row r="20" spans="1:22" x14ac:dyDescent="0.25">
      <c r="A20" s="13">
        <v>40755</v>
      </c>
      <c r="B20" s="8">
        <f t="shared" si="0"/>
        <v>0.52006056018168056</v>
      </c>
      <c r="C20" s="8">
        <f t="shared" si="1"/>
        <v>0.72701129820310251</v>
      </c>
      <c r="D20" s="8">
        <f t="shared" si="2"/>
        <v>0.16661995515695072</v>
      </c>
      <c r="E20" s="8">
        <f t="shared" si="3"/>
        <v>-0.15829875518672198</v>
      </c>
      <c r="F20" s="8">
        <f>PRODUCT($K$2:K20)-1</f>
        <v>0.21236756371369103</v>
      </c>
      <c r="G20" s="8">
        <f t="shared" si="4"/>
        <v>0.29462515708571901</v>
      </c>
      <c r="H20" s="8">
        <f t="shared" si="5"/>
        <v>0.39360338973608222</v>
      </c>
      <c r="I20" s="8">
        <f t="shared" si="6"/>
        <v>0.14651973748439739</v>
      </c>
      <c r="J20" s="8"/>
      <c r="K20" s="20">
        <f t="shared" si="7"/>
        <v>1.01166125</v>
      </c>
      <c r="L20" s="2" t="s">
        <v>61</v>
      </c>
      <c r="M20" s="2">
        <v>40160000</v>
      </c>
      <c r="N20" s="2">
        <v>40456870.697329082</v>
      </c>
      <c r="O20" s="2">
        <v>20812.5</v>
      </c>
      <c r="P20" s="3">
        <v>405.7</v>
      </c>
      <c r="Q20" s="3">
        <v>13.993499999999999</v>
      </c>
      <c r="R20" s="2">
        <v>2526026</v>
      </c>
      <c r="S20" s="2">
        <v>2701581</v>
      </c>
      <c r="T20" s="2">
        <f t="shared" si="8"/>
        <v>3138911.1274906415</v>
      </c>
      <c r="U20" s="11">
        <f>IF(_xlfn.NUMBERVALUE(L20)&gt;0,L20,U19)</f>
        <v>871693.69170836208</v>
      </c>
    </row>
    <row r="21" spans="1:22" x14ac:dyDescent="0.25">
      <c r="A21" s="13">
        <v>40786</v>
      </c>
      <c r="B21" s="8">
        <f t="shared" si="0"/>
        <v>0.77630582891748667</v>
      </c>
      <c r="C21" s="8">
        <f t="shared" si="1"/>
        <v>0.94122995642380269</v>
      </c>
      <c r="D21" s="8">
        <f t="shared" si="2"/>
        <v>0.16661995515695072</v>
      </c>
      <c r="E21" s="8">
        <f t="shared" si="3"/>
        <v>-0.11736514522821573</v>
      </c>
      <c r="F21" s="8">
        <f>PRODUCT($K$2:K21)-1</f>
        <v>0.22650528496604716</v>
      </c>
      <c r="G21" s="8">
        <f t="shared" si="4"/>
        <v>0.34787490954117639</v>
      </c>
      <c r="H21" s="8">
        <f t="shared" si="5"/>
        <v>0.40111722218267398</v>
      </c>
      <c r="I21" s="8">
        <f t="shared" si="6"/>
        <v>0.14651973748439739</v>
      </c>
      <c r="J21" s="8"/>
      <c r="K21" s="20">
        <f t="shared" si="7"/>
        <v>1.01166125</v>
      </c>
      <c r="L21" s="2" t="s">
        <v>61</v>
      </c>
      <c r="M21" s="2">
        <v>46930000</v>
      </c>
      <c r="N21" s="2">
        <v>45475145.080135681</v>
      </c>
      <c r="O21" s="2">
        <v>20812.5</v>
      </c>
      <c r="P21" s="3">
        <v>425.43</v>
      </c>
      <c r="Q21" s="3">
        <v>13.993499999999999</v>
      </c>
      <c r="R21" s="2">
        <v>2629925</v>
      </c>
      <c r="S21" s="2">
        <v>2716147</v>
      </c>
      <c r="T21" s="2">
        <f t="shared" si="8"/>
        <v>3138911.1274906415</v>
      </c>
      <c r="U21" s="11">
        <f>IF(_xlfn.NUMBERVALUE(L21)&gt;0,L21,U20)</f>
        <v>871693.69170836208</v>
      </c>
    </row>
    <row r="22" spans="1:22" x14ac:dyDescent="0.25">
      <c r="A22" s="13">
        <v>40816</v>
      </c>
      <c r="B22" s="8">
        <f t="shared" si="0"/>
        <v>0.67297501892505673</v>
      </c>
      <c r="C22" s="8">
        <f t="shared" si="1"/>
        <v>0.72030028372022903</v>
      </c>
      <c r="D22" s="8">
        <f t="shared" si="2"/>
        <v>0.16661995515695072</v>
      </c>
      <c r="E22" s="8">
        <f t="shared" si="3"/>
        <v>-0.11286307053941902</v>
      </c>
      <c r="F22" s="8">
        <f>PRODUCT($K$2:K22)-1</f>
        <v>0.2408078697203575</v>
      </c>
      <c r="G22" s="8">
        <f t="shared" si="4"/>
        <v>0.36087484188925179</v>
      </c>
      <c r="H22" s="8">
        <f t="shared" si="5"/>
        <v>0.40124669986660177</v>
      </c>
      <c r="I22" s="8">
        <f t="shared" si="6"/>
        <v>0.22351739601286336</v>
      </c>
      <c r="J22" s="8"/>
      <c r="K22" s="20">
        <f t="shared" si="7"/>
        <v>1.01166125</v>
      </c>
      <c r="L22" s="2">
        <v>919169.25739387644</v>
      </c>
      <c r="M22" s="2">
        <v>44200000</v>
      </c>
      <c r="N22" s="2">
        <v>40299658.845001303</v>
      </c>
      <c r="O22" s="2">
        <v>20812.5</v>
      </c>
      <c r="P22" s="3">
        <v>427.6</v>
      </c>
      <c r="Q22" s="3">
        <v>13.993499999999999</v>
      </c>
      <c r="R22" s="2">
        <v>2655290</v>
      </c>
      <c r="S22" s="2">
        <v>2716398</v>
      </c>
      <c r="T22" s="2">
        <f t="shared" si="8"/>
        <v>3349713.2613257039</v>
      </c>
      <c r="U22" s="11">
        <f>IF(_xlfn.NUMBERVALUE(L22)&gt;0,L22,U21)</f>
        <v>919169.25739387644</v>
      </c>
      <c r="V22" s="3">
        <v>6.2118699198929983</v>
      </c>
    </row>
    <row r="23" spans="1:22" x14ac:dyDescent="0.25">
      <c r="A23" s="13">
        <v>40847</v>
      </c>
      <c r="B23" s="8">
        <f t="shared" si="0"/>
        <v>0.69757759273277831</v>
      </c>
      <c r="C23" s="8">
        <f t="shared" si="1"/>
        <v>0.84602889568977124</v>
      </c>
      <c r="D23" s="8">
        <f t="shared" si="2"/>
        <v>0.16661995515695072</v>
      </c>
      <c r="E23" s="8">
        <f t="shared" si="3"/>
        <v>-0.12695020746887964</v>
      </c>
      <c r="F23" s="8">
        <f>PRODUCT($K$2:K23)-1</f>
        <v>0.25527724049113387</v>
      </c>
      <c r="G23" s="8">
        <f t="shared" si="4"/>
        <v>0.34375019219296798</v>
      </c>
      <c r="H23" s="8">
        <f t="shared" si="5"/>
        <v>0.40707680657478384</v>
      </c>
      <c r="I23" s="8">
        <f t="shared" si="6"/>
        <v>0.22351739601286336</v>
      </c>
      <c r="J23" s="8"/>
      <c r="K23" s="20">
        <f t="shared" si="7"/>
        <v>1.01166125</v>
      </c>
      <c r="L23" s="2" t="s">
        <v>61</v>
      </c>
      <c r="M23" s="2">
        <v>44850000</v>
      </c>
      <c r="N23" s="2">
        <v>43244970.321943492</v>
      </c>
      <c r="O23" s="2">
        <v>20812.5</v>
      </c>
      <c r="P23" s="3">
        <v>420.81</v>
      </c>
      <c r="Q23" s="3">
        <v>13.993499999999999</v>
      </c>
      <c r="R23" s="2">
        <v>2621877</v>
      </c>
      <c r="S23" s="2">
        <v>2727700</v>
      </c>
      <c r="T23" s="2">
        <f t="shared" si="8"/>
        <v>3349713.2613257039</v>
      </c>
      <c r="U23" s="11">
        <f>IF(_xlfn.NUMBERVALUE(L23)&gt;0,L23,U22)</f>
        <v>919169.25739387644</v>
      </c>
    </row>
    <row r="24" spans="1:22" x14ac:dyDescent="0.25">
      <c r="A24" s="13">
        <v>40877</v>
      </c>
      <c r="B24" s="8">
        <f t="shared" si="0"/>
        <v>0.69379258137774413</v>
      </c>
      <c r="C24" s="8">
        <f t="shared" si="1"/>
        <v>0.86883396861045936</v>
      </c>
      <c r="D24" s="8">
        <f t="shared" si="2"/>
        <v>0.16661995515695072</v>
      </c>
      <c r="E24" s="8">
        <f t="shared" si="3"/>
        <v>-0.2101867219917013</v>
      </c>
      <c r="F24" s="8">
        <f>PRODUCT($K$2:K24)-1</f>
        <v>0.26991534221181102</v>
      </c>
      <c r="G24" s="8">
        <f t="shared" si="4"/>
        <v>0.34375019219296798</v>
      </c>
      <c r="H24" s="8">
        <f t="shared" si="5"/>
        <v>0.40707680657478384</v>
      </c>
      <c r="I24" s="8">
        <f t="shared" si="6"/>
        <v>0.22351739601286336</v>
      </c>
      <c r="J24" s="8"/>
      <c r="K24" s="20">
        <f t="shared" si="7"/>
        <v>1.01166125</v>
      </c>
      <c r="L24" s="2" t="s">
        <v>61</v>
      </c>
      <c r="M24" s="2">
        <v>44750000</v>
      </c>
      <c r="N24" s="2">
        <v>43779200.692848071</v>
      </c>
      <c r="O24" s="2">
        <v>20812.5</v>
      </c>
      <c r="P24" s="3">
        <v>380.69</v>
      </c>
      <c r="Q24" s="3">
        <v>13.993499999999999</v>
      </c>
      <c r="R24" s="2">
        <v>2621877</v>
      </c>
      <c r="S24" s="2">
        <v>2727700</v>
      </c>
      <c r="T24" s="2">
        <f t="shared" si="8"/>
        <v>3349713.2613257039</v>
      </c>
      <c r="U24" s="11">
        <f>IF(_xlfn.NUMBERVALUE(L24)&gt;0,L24,U23)</f>
        <v>919169.25739387644</v>
      </c>
    </row>
    <row r="25" spans="1:22" x14ac:dyDescent="0.25">
      <c r="A25" s="13">
        <v>40908</v>
      </c>
      <c r="B25" s="8">
        <f t="shared" si="0"/>
        <v>0.58213474640423923</v>
      </c>
      <c r="C25" s="8">
        <f t="shared" si="1"/>
        <v>0.6784513914821857</v>
      </c>
      <c r="D25" s="8">
        <f t="shared" si="2"/>
        <v>0.16661995515695072</v>
      </c>
      <c r="E25" s="8">
        <f t="shared" si="3"/>
        <v>-0.27064315352697088</v>
      </c>
      <c r="F25" s="8">
        <f>PRODUCT($K$2:K25)-1</f>
        <v>0.28472414249617839</v>
      </c>
      <c r="G25" s="8">
        <f t="shared" si="4"/>
        <v>0.36587493414187633</v>
      </c>
      <c r="H25" s="8">
        <f t="shared" si="5"/>
        <v>0.43674473500405964</v>
      </c>
      <c r="I25" s="8">
        <f t="shared" si="6"/>
        <v>0.31684454331925616</v>
      </c>
      <c r="J25" s="8"/>
      <c r="K25" s="20">
        <f t="shared" si="7"/>
        <v>1.01166125</v>
      </c>
      <c r="L25" s="2">
        <v>996049.87127472064</v>
      </c>
      <c r="M25" s="2">
        <v>41800000</v>
      </c>
      <c r="N25" s="2">
        <v>39319309.021081463</v>
      </c>
      <c r="O25" s="2">
        <v>20812.5</v>
      </c>
      <c r="P25" s="3">
        <v>351.55</v>
      </c>
      <c r="Q25" s="3">
        <v>13.993499999999999</v>
      </c>
      <c r="R25" s="2">
        <v>2665046</v>
      </c>
      <c r="S25" s="2">
        <v>2785213</v>
      </c>
      <c r="T25" s="2">
        <f t="shared" si="8"/>
        <v>3605221.8335721381</v>
      </c>
      <c r="U25" s="11">
        <f>IF(_xlfn.NUMBERVALUE(L25)&gt;0,L25,U24)</f>
        <v>996049.87127472064</v>
      </c>
      <c r="V25" s="3">
        <v>6.7138689230831439</v>
      </c>
    </row>
    <row r="26" spans="1:22" x14ac:dyDescent="0.25">
      <c r="A26" s="13">
        <v>40939</v>
      </c>
      <c r="B26" s="8">
        <f t="shared" si="0"/>
        <v>0.71574564723694167</v>
      </c>
      <c r="C26" s="8">
        <f t="shared" si="1"/>
        <v>0.86282591589927105</v>
      </c>
      <c r="D26" s="8">
        <f t="shared" si="2"/>
        <v>0.16661995515695072</v>
      </c>
      <c r="E26" s="8">
        <f t="shared" si="3"/>
        <v>-0.19508298755186715</v>
      </c>
      <c r="F26" s="8">
        <f>PRODUCT($K$2:K26)-1</f>
        <v>0.29596940428901086</v>
      </c>
      <c r="G26" s="8">
        <f t="shared" si="4"/>
        <v>0.37598274670914389</v>
      </c>
      <c r="H26" s="8">
        <f t="shared" si="5"/>
        <v>0.44809492416528163</v>
      </c>
      <c r="I26" s="8">
        <f t="shared" si="6"/>
        <v>0.31684454331925616</v>
      </c>
      <c r="J26" s="8"/>
      <c r="K26" s="20">
        <f t="shared" si="7"/>
        <v>1.0087530555555555</v>
      </c>
      <c r="L26" s="2" t="s">
        <v>61</v>
      </c>
      <c r="M26" s="2">
        <v>45330000</v>
      </c>
      <c r="N26" s="2">
        <v>43638456.383918427</v>
      </c>
      <c r="O26" s="2">
        <v>20812.5</v>
      </c>
      <c r="P26" s="3">
        <v>387.97</v>
      </c>
      <c r="Q26" s="3">
        <v>10.5036666666667</v>
      </c>
      <c r="R26" s="2">
        <v>2684768</v>
      </c>
      <c r="S26" s="2">
        <v>2807216</v>
      </c>
      <c r="T26" s="2">
        <f t="shared" si="8"/>
        <v>3605221.8335721381</v>
      </c>
      <c r="U26" s="11">
        <f>IF(_xlfn.NUMBERVALUE(L26)&gt;0,L26,U25)</f>
        <v>996049.87127472064</v>
      </c>
    </row>
    <row r="27" spans="1:22" x14ac:dyDescent="0.25">
      <c r="A27" s="13">
        <v>40968</v>
      </c>
      <c r="B27" s="8">
        <f t="shared" si="0"/>
        <v>0.71347464042392117</v>
      </c>
      <c r="C27" s="8">
        <f t="shared" si="1"/>
        <v>0.83291862675643458</v>
      </c>
      <c r="D27" s="8">
        <f t="shared" si="2"/>
        <v>0.16661995515695072</v>
      </c>
      <c r="E27" s="8">
        <f t="shared" si="3"/>
        <v>-0.1210788381742739</v>
      </c>
      <c r="F27" s="8">
        <f>PRODUCT($K$2:K27)-1</f>
        <v>0.30731309648305283</v>
      </c>
      <c r="G27" s="8">
        <f t="shared" si="4"/>
        <v>0.36737762689348519</v>
      </c>
      <c r="H27" s="8">
        <f t="shared" si="5"/>
        <v>0.4728065912910524</v>
      </c>
      <c r="I27" s="8">
        <f t="shared" si="6"/>
        <v>0.31684454331925616</v>
      </c>
      <c r="J27" s="8"/>
      <c r="K27" s="20">
        <f t="shared" si="7"/>
        <v>1.0087530555555555</v>
      </c>
      <c r="L27" s="2" t="s">
        <v>61</v>
      </c>
      <c r="M27" s="2">
        <v>45270000</v>
      </c>
      <c r="N27" s="2">
        <v>42937849.890481882</v>
      </c>
      <c r="O27" s="2">
        <v>20812.5</v>
      </c>
      <c r="P27" s="3">
        <v>423.64</v>
      </c>
      <c r="Q27" s="3">
        <v>10.5036666666667</v>
      </c>
      <c r="R27" s="2">
        <v>2667978</v>
      </c>
      <c r="S27" s="2">
        <v>2855121</v>
      </c>
      <c r="T27" s="2">
        <f t="shared" si="8"/>
        <v>3605221.8335721381</v>
      </c>
      <c r="U27" s="11">
        <f>IF(_xlfn.NUMBERVALUE(L27)&gt;0,L27,U26)</f>
        <v>996049.87127472064</v>
      </c>
    </row>
    <row r="28" spans="1:22" x14ac:dyDescent="0.25">
      <c r="A28" s="13">
        <v>40999</v>
      </c>
      <c r="B28" s="8">
        <f t="shared" si="0"/>
        <v>0.66540499621498861</v>
      </c>
      <c r="C28" s="8">
        <f t="shared" si="1"/>
        <v>0.78939768960525813</v>
      </c>
      <c r="D28" s="8">
        <f t="shared" si="2"/>
        <v>0.16661995515695072</v>
      </c>
      <c r="E28" s="8">
        <f t="shared" si="3"/>
        <v>-8.5000000000000075E-2</v>
      </c>
      <c r="F28" s="8">
        <f>PRODUCT($K$2:K28)-1</f>
        <v>0.31875608064507421</v>
      </c>
      <c r="G28" s="8">
        <f t="shared" si="4"/>
        <v>0.62280156870462955</v>
      </c>
      <c r="H28" s="8">
        <f t="shared" si="5"/>
        <v>0.45125036238276084</v>
      </c>
      <c r="I28" s="8">
        <f t="shared" si="6"/>
        <v>0.38773141381751364</v>
      </c>
      <c r="J28" s="8"/>
      <c r="K28" s="20">
        <f t="shared" si="7"/>
        <v>1.0087530555555555</v>
      </c>
      <c r="L28" s="2">
        <v>1012381.1947070095</v>
      </c>
      <c r="M28" s="2">
        <v>44000000</v>
      </c>
      <c r="N28" s="2">
        <v>41918330.835346743</v>
      </c>
      <c r="O28" s="2">
        <v>20812.5</v>
      </c>
      <c r="P28" s="3">
        <v>441.03</v>
      </c>
      <c r="Q28" s="3">
        <v>10.5036666666667</v>
      </c>
      <c r="R28" s="2">
        <v>3166352</v>
      </c>
      <c r="S28" s="2">
        <v>2813333</v>
      </c>
      <c r="T28" s="2">
        <f t="shared" si="8"/>
        <v>3799294.0150839686</v>
      </c>
      <c r="U28" s="11">
        <f>IF(_xlfn.NUMBERVALUE(L28)&gt;0,L28,U27)</f>
        <v>1012381.1947070095</v>
      </c>
      <c r="V28" s="3">
        <v>4.7450356799931814</v>
      </c>
    </row>
    <row r="29" spans="1:22" x14ac:dyDescent="0.25">
      <c r="A29" s="13">
        <v>41029</v>
      </c>
      <c r="B29" s="8">
        <f t="shared" si="0"/>
        <v>0.62755488266464798</v>
      </c>
      <c r="C29" s="8">
        <f t="shared" si="1"/>
        <v>0.78307318846925722</v>
      </c>
      <c r="D29" s="8">
        <f t="shared" si="2"/>
        <v>0.16661995515695072</v>
      </c>
      <c r="E29" s="8">
        <f t="shared" si="3"/>
        <v>-1.7074688796680504E-2</v>
      </c>
      <c r="F29" s="8">
        <f>PRODUCT($K$2:K29)-1</f>
        <v>0.33029922588318716</v>
      </c>
      <c r="G29" s="8">
        <f t="shared" si="4"/>
        <v>0.63228001336638018</v>
      </c>
      <c r="H29" s="8">
        <f t="shared" si="5"/>
        <v>0.46186908000689164</v>
      </c>
      <c r="I29" s="8">
        <f t="shared" si="6"/>
        <v>0.38773141381751364</v>
      </c>
      <c r="J29" s="8"/>
      <c r="K29" s="20">
        <f t="shared" si="7"/>
        <v>1.0087530555555555</v>
      </c>
      <c r="L29" s="2" t="s">
        <v>61</v>
      </c>
      <c r="M29" s="2">
        <v>43000000</v>
      </c>
      <c r="N29" s="2">
        <v>41770173.423203282</v>
      </c>
      <c r="O29" s="2">
        <v>20812.5</v>
      </c>
      <c r="P29" s="3">
        <v>473.77</v>
      </c>
      <c r="Q29" s="3">
        <v>10.5036666666667</v>
      </c>
      <c r="R29" s="2">
        <v>3184846</v>
      </c>
      <c r="S29" s="2">
        <v>2833918</v>
      </c>
      <c r="T29" s="2">
        <f t="shared" si="8"/>
        <v>3799294.0150839686</v>
      </c>
      <c r="U29" s="11">
        <f>IF(_xlfn.NUMBERVALUE(L29)&gt;0,L29,U28)</f>
        <v>1012381.1947070095</v>
      </c>
    </row>
    <row r="30" spans="1:22" x14ac:dyDescent="0.25">
      <c r="A30" s="13">
        <v>41060</v>
      </c>
      <c r="B30" s="8">
        <f t="shared" si="0"/>
        <v>0.56926570779712349</v>
      </c>
      <c r="C30" s="8">
        <f t="shared" si="1"/>
        <v>0.67502108926051063</v>
      </c>
      <c r="D30" s="8">
        <f t="shared" si="2"/>
        <v>0.16661995515695072</v>
      </c>
      <c r="E30" s="8">
        <f t="shared" si="3"/>
        <v>-0.10954356846473035</v>
      </c>
      <c r="F30" s="8">
        <f>PRODUCT($K$2:K30)-1</f>
        <v>0.34194340891285524</v>
      </c>
      <c r="G30" s="8">
        <f t="shared" si="4"/>
        <v>0.66423068486298442</v>
      </c>
      <c r="H30" s="8">
        <f t="shared" si="5"/>
        <v>0.4729732099839159</v>
      </c>
      <c r="I30" s="8">
        <f t="shared" si="6"/>
        <v>0.38773141381751364</v>
      </c>
      <c r="J30" s="8"/>
      <c r="K30" s="20">
        <f t="shared" si="7"/>
        <v>1.0087530555555555</v>
      </c>
      <c r="L30" s="2" t="s">
        <v>61</v>
      </c>
      <c r="M30" s="2">
        <v>41460000</v>
      </c>
      <c r="N30" s="2">
        <v>39238950.951867059</v>
      </c>
      <c r="O30" s="2">
        <v>20812.5</v>
      </c>
      <c r="P30" s="3">
        <v>429.2</v>
      </c>
      <c r="Q30" s="3">
        <v>10.5036666666667</v>
      </c>
      <c r="R30" s="2">
        <v>3247187</v>
      </c>
      <c r="S30" s="2">
        <v>2855444</v>
      </c>
      <c r="T30" s="2">
        <f t="shared" si="8"/>
        <v>3799294.0150839686</v>
      </c>
      <c r="U30" s="11">
        <f>IF(_xlfn.NUMBERVALUE(L30)&gt;0,L30,U29)</f>
        <v>1012381.1947070095</v>
      </c>
    </row>
    <row r="31" spans="1:22" x14ac:dyDescent="0.25">
      <c r="A31" s="13">
        <v>41090</v>
      </c>
      <c r="B31" s="8">
        <f t="shared" si="0"/>
        <v>0.58705526116578355</v>
      </c>
      <c r="C31" s="8">
        <f t="shared" si="1"/>
        <v>0.71886366222556819</v>
      </c>
      <c r="D31" s="8">
        <f t="shared" si="2"/>
        <v>0.16661995515695072</v>
      </c>
      <c r="E31" s="8">
        <f t="shared" si="3"/>
        <v>-0.12371369294605805</v>
      </c>
      <c r="F31" s="8">
        <f>PRODUCT($K$2:K31)-1</f>
        <v>0.35368951412348104</v>
      </c>
      <c r="G31" s="8">
        <f t="shared" si="4"/>
        <v>0.69470377682245066</v>
      </c>
      <c r="H31" s="8">
        <f t="shared" si="5"/>
        <v>0.48961083444498432</v>
      </c>
      <c r="I31" s="8">
        <f t="shared" si="6"/>
        <v>0.43630397506065921</v>
      </c>
      <c r="J31" s="8"/>
      <c r="K31" s="20">
        <f t="shared" si="7"/>
        <v>1.0087530555555555</v>
      </c>
      <c r="L31" s="2">
        <v>1004674.3530891743</v>
      </c>
      <c r="M31" s="2">
        <v>41930000</v>
      </c>
      <c r="N31" s="2">
        <v>40266004.629704058</v>
      </c>
      <c r="O31" s="2">
        <v>20812.5</v>
      </c>
      <c r="P31" s="3">
        <v>422.37</v>
      </c>
      <c r="Q31" s="3">
        <v>10.5036666666667</v>
      </c>
      <c r="R31" s="2">
        <v>3306645</v>
      </c>
      <c r="S31" s="2">
        <v>2887697</v>
      </c>
      <c r="T31" s="2">
        <f t="shared" si="8"/>
        <v>3932274.6764647807</v>
      </c>
      <c r="U31" s="11">
        <f>IF(_xlfn.NUMBERVALUE(L31)&gt;0,L31,U30)</f>
        <v>1004674.3530891743</v>
      </c>
      <c r="V31" s="3">
        <v>5.0789034784632481</v>
      </c>
    </row>
    <row r="32" spans="1:22" x14ac:dyDescent="0.25">
      <c r="A32" s="13">
        <v>41121</v>
      </c>
      <c r="B32" s="8">
        <f t="shared" si="0"/>
        <v>0.593111279333838</v>
      </c>
      <c r="C32" s="8">
        <f t="shared" si="1"/>
        <v>0.72636727659137978</v>
      </c>
      <c r="D32" s="8">
        <f t="shared" si="2"/>
        <v>0.16661995515695072</v>
      </c>
      <c r="E32" s="8">
        <f t="shared" si="3"/>
        <v>-0.14008298755186721</v>
      </c>
      <c r="F32" s="8">
        <f>PRODUCT($K$2:K32)-1</f>
        <v>0.3655384336455767</v>
      </c>
      <c r="G32" s="8">
        <f t="shared" si="4"/>
        <v>0.71119598352573132</v>
      </c>
      <c r="H32" s="8">
        <f t="shared" si="5"/>
        <v>0.48567182410843523</v>
      </c>
      <c r="I32" s="8">
        <f t="shared" si="6"/>
        <v>0.43630397506065921</v>
      </c>
      <c r="J32" s="8"/>
      <c r="K32" s="20">
        <f t="shared" si="7"/>
        <v>1.0087530555555555</v>
      </c>
      <c r="L32" s="2" t="s">
        <v>61</v>
      </c>
      <c r="M32" s="2">
        <v>42090000</v>
      </c>
      <c r="N32" s="2">
        <v>40441783.882842772</v>
      </c>
      <c r="O32" s="2">
        <v>20812.5</v>
      </c>
      <c r="P32" s="3">
        <v>414.48</v>
      </c>
      <c r="Q32" s="3">
        <v>10.5036666666667</v>
      </c>
      <c r="R32" s="2">
        <v>3338824</v>
      </c>
      <c r="S32" s="2">
        <v>2880061</v>
      </c>
      <c r="T32" s="2">
        <f t="shared" si="8"/>
        <v>3932274.6764647807</v>
      </c>
      <c r="U32" s="11">
        <f>IF(_xlfn.NUMBERVALUE(L32)&gt;0,L32,U31)</f>
        <v>1004674.3530891743</v>
      </c>
    </row>
    <row r="33" spans="1:22" x14ac:dyDescent="0.25">
      <c r="A33" s="13">
        <v>41152</v>
      </c>
      <c r="B33" s="8">
        <f t="shared" si="0"/>
        <v>0.68508705526116587</v>
      </c>
      <c r="C33" s="8">
        <f t="shared" si="1"/>
        <v>0.80579836820751338</v>
      </c>
      <c r="D33" s="8">
        <f t="shared" si="2"/>
        <v>0.16661995515695072</v>
      </c>
      <c r="E33" s="8">
        <f t="shared" si="3"/>
        <v>-0.1783817427385892</v>
      </c>
      <c r="F33" s="8">
        <f>PRODUCT($K$2:K33)-1</f>
        <v>0.37749106741852256</v>
      </c>
      <c r="G33" s="8">
        <f t="shared" si="4"/>
        <v>0.7280202996775258</v>
      </c>
      <c r="H33" s="8">
        <f t="shared" si="5"/>
        <v>0.4980047024644092</v>
      </c>
      <c r="I33" s="8">
        <f t="shared" si="6"/>
        <v>0.43630397506065921</v>
      </c>
      <c r="J33" s="8"/>
      <c r="K33" s="20">
        <f t="shared" si="7"/>
        <v>1.0087530555555555</v>
      </c>
      <c r="L33" s="2" t="s">
        <v>61</v>
      </c>
      <c r="M33" s="2">
        <v>44520000</v>
      </c>
      <c r="N33" s="2">
        <v>42302532.220856071</v>
      </c>
      <c r="O33" s="2">
        <v>20812.5</v>
      </c>
      <c r="P33" s="3">
        <v>396.02</v>
      </c>
      <c r="Q33" s="3">
        <v>10.5036666666667</v>
      </c>
      <c r="R33" s="2">
        <v>3371651</v>
      </c>
      <c r="S33" s="2">
        <v>2903969</v>
      </c>
      <c r="T33" s="2">
        <f t="shared" si="8"/>
        <v>3932274.6764647807</v>
      </c>
      <c r="U33" s="11">
        <f>IF(_xlfn.NUMBERVALUE(L33)&gt;0,L33,U32)</f>
        <v>1004674.3530891743</v>
      </c>
    </row>
    <row r="34" spans="1:22" x14ac:dyDescent="0.25">
      <c r="A34" s="13">
        <v>41182</v>
      </c>
      <c r="B34" s="8">
        <f t="shared" si="0"/>
        <v>0.79409538228614696</v>
      </c>
      <c r="C34" s="8">
        <f t="shared" si="1"/>
        <v>0.89852160287075744</v>
      </c>
      <c r="D34" s="8">
        <f t="shared" si="2"/>
        <v>0.16661995515695072</v>
      </c>
      <c r="E34" s="8">
        <f t="shared" si="3"/>
        <v>-0.18553941908713689</v>
      </c>
      <c r="F34" s="8">
        <f>PRODUCT($K$2:K34)-1</f>
        <v>0.38954832325891831</v>
      </c>
      <c r="G34" s="8">
        <f t="shared" si="4"/>
        <v>0.74709916747131455</v>
      </c>
      <c r="H34" s="8">
        <f t="shared" si="5"/>
        <v>0.50405352844743367</v>
      </c>
      <c r="I34" s="8">
        <f t="shared" si="6"/>
        <v>0.48080837833801815</v>
      </c>
      <c r="J34" s="8"/>
      <c r="K34" s="20">
        <f t="shared" si="7"/>
        <v>1.0087530555555555</v>
      </c>
      <c r="L34" s="2">
        <v>1041012.2245076749</v>
      </c>
      <c r="M34" s="2">
        <v>47400000</v>
      </c>
      <c r="N34" s="2">
        <v>44474661.563213043</v>
      </c>
      <c r="O34" s="2">
        <v>20812.5</v>
      </c>
      <c r="P34" s="3">
        <v>392.57</v>
      </c>
      <c r="Q34" s="3">
        <v>10.5036666666667</v>
      </c>
      <c r="R34" s="2">
        <v>3408877</v>
      </c>
      <c r="S34" s="2">
        <v>2915695</v>
      </c>
      <c r="T34" s="2">
        <f t="shared" si="8"/>
        <v>4054117.6435785796</v>
      </c>
      <c r="U34" s="11">
        <f>IF(_xlfn.NUMBERVALUE(L34)&gt;0,L34,U33)</f>
        <v>1041012.2245076749</v>
      </c>
      <c r="V34" s="3">
        <v>5.3890186566053933</v>
      </c>
    </row>
    <row r="35" spans="1:22" x14ac:dyDescent="0.25">
      <c r="A35" s="13">
        <v>41213</v>
      </c>
      <c r="B35" s="8">
        <f t="shared" si="0"/>
        <v>0.74602573807721417</v>
      </c>
      <c r="C35" s="8">
        <f t="shared" si="1"/>
        <v>0.84106538189735769</v>
      </c>
      <c r="D35" s="8">
        <f t="shared" si="2"/>
        <v>0.16661995515695072</v>
      </c>
      <c r="E35" s="8">
        <f t="shared" si="3"/>
        <v>-0.19414937759336093</v>
      </c>
      <c r="F35" s="8">
        <f>PRODUCT($K$2:K35)-1</f>
        <v>0.40171111692953265</v>
      </c>
      <c r="G35" s="8">
        <f t="shared" si="4"/>
        <v>0.76401112361646684</v>
      </c>
      <c r="H35" s="8">
        <f t="shared" si="5"/>
        <v>0.5165819129476652</v>
      </c>
      <c r="I35" s="8">
        <f t="shared" si="6"/>
        <v>0.48080837833801815</v>
      </c>
      <c r="J35" s="8"/>
      <c r="K35" s="20">
        <f t="shared" si="7"/>
        <v>1.0087530555555555</v>
      </c>
      <c r="L35" s="2" t="s">
        <v>61</v>
      </c>
      <c r="M35" s="2">
        <v>46130000</v>
      </c>
      <c r="N35" s="2">
        <v>43128695.323677398</v>
      </c>
      <c r="O35" s="2">
        <v>20812.5</v>
      </c>
      <c r="P35" s="3">
        <v>388.42</v>
      </c>
      <c r="Q35" s="3">
        <v>10.5036666666667</v>
      </c>
      <c r="R35" s="2">
        <v>3441875</v>
      </c>
      <c r="S35" s="2">
        <v>2939982</v>
      </c>
      <c r="T35" s="2">
        <f t="shared" si="8"/>
        <v>4054117.6435785796</v>
      </c>
      <c r="U35" s="11">
        <f>IF(_xlfn.NUMBERVALUE(L35)&gt;0,L35,U34)</f>
        <v>1041012.2245076749</v>
      </c>
    </row>
    <row r="36" spans="1:22" x14ac:dyDescent="0.25">
      <c r="A36" s="13">
        <v>41243</v>
      </c>
      <c r="B36" s="8">
        <f t="shared" si="0"/>
        <v>0.78349735049205149</v>
      </c>
      <c r="C36" s="8">
        <f t="shared" si="1"/>
        <v>0.83399057166583646</v>
      </c>
      <c r="D36" s="8">
        <f t="shared" si="2"/>
        <v>0.16661995515695072</v>
      </c>
      <c r="E36" s="8">
        <f t="shared" si="3"/>
        <v>-0.21614107883817424</v>
      </c>
      <c r="F36" s="8">
        <f>PRODUCT($K$2:K36)-1</f>
        <v>0.41398037220885664</v>
      </c>
      <c r="G36" s="8">
        <f t="shared" si="4"/>
        <v>0.80373151616163474</v>
      </c>
      <c r="H36" s="8">
        <f t="shared" si="5"/>
        <v>0.53945045750501142</v>
      </c>
      <c r="I36" s="8">
        <f t="shared" si="6"/>
        <v>0.48080837833801815</v>
      </c>
      <c r="J36" s="8"/>
      <c r="K36" s="20">
        <f t="shared" si="7"/>
        <v>1.0087530555555555</v>
      </c>
      <c r="L36" s="2" t="s">
        <v>61</v>
      </c>
      <c r="M36" s="2">
        <v>47120000</v>
      </c>
      <c r="N36" s="2">
        <v>42962961.212358847</v>
      </c>
      <c r="O36" s="2">
        <v>20812.5</v>
      </c>
      <c r="P36" s="3">
        <v>377.82</v>
      </c>
      <c r="Q36" s="3">
        <v>10.5036666666667</v>
      </c>
      <c r="R36" s="2">
        <v>3519376</v>
      </c>
      <c r="S36" s="2">
        <v>2984314</v>
      </c>
      <c r="T36" s="2">
        <f t="shared" si="8"/>
        <v>4054117.6435785796</v>
      </c>
      <c r="U36" s="11">
        <f>IF(_xlfn.NUMBERVALUE(L36)&gt;0,L36,U35)</f>
        <v>1041012.2245076749</v>
      </c>
    </row>
    <row r="37" spans="1:22" x14ac:dyDescent="0.25">
      <c r="A37" s="13">
        <v>41274</v>
      </c>
      <c r="B37" s="8">
        <f t="shared" si="0"/>
        <v>0.75246025738077216</v>
      </c>
      <c r="C37" s="8">
        <f t="shared" si="1"/>
        <v>0.79529338660696691</v>
      </c>
      <c r="D37" s="8">
        <f t="shared" si="2"/>
        <v>0.16661995515695072</v>
      </c>
      <c r="E37" s="8">
        <f t="shared" si="3"/>
        <v>-0.14163900414937758</v>
      </c>
      <c r="F37" s="8">
        <f>PRODUCT($K$2:K37)-1</f>
        <v>0.42635702096126571</v>
      </c>
      <c r="G37" s="8">
        <f t="shared" si="4"/>
        <v>0.89777332915121444</v>
      </c>
      <c r="H37" s="8">
        <f t="shared" si="5"/>
        <v>0.59443462614995268</v>
      </c>
      <c r="I37" s="8">
        <f t="shared" si="6"/>
        <v>0.54142965391419318</v>
      </c>
      <c r="J37" s="8"/>
      <c r="K37" s="20">
        <f t="shared" si="7"/>
        <v>1.0087530555555555</v>
      </c>
      <c r="L37" s="2">
        <v>1162017.1810798189</v>
      </c>
      <c r="M37" s="2">
        <v>46300000</v>
      </c>
      <c r="N37" s="2">
        <v>42056443.105670013</v>
      </c>
      <c r="O37" s="2">
        <v>20812.5</v>
      </c>
      <c r="P37" s="3">
        <v>413.73</v>
      </c>
      <c r="Q37" s="3">
        <v>10.5036666666667</v>
      </c>
      <c r="R37" s="2">
        <v>3702867</v>
      </c>
      <c r="S37" s="2">
        <v>3090904</v>
      </c>
      <c r="T37" s="2">
        <f t="shared" si="8"/>
        <v>4220084.9533836776</v>
      </c>
      <c r="U37" s="11">
        <f>IF(_xlfn.NUMBERVALUE(L37)&gt;0,L37,U36)</f>
        <v>1162017.1810798189</v>
      </c>
      <c r="V37" s="3">
        <v>5.5697377394879011</v>
      </c>
    </row>
    <row r="38" spans="1:22" x14ac:dyDescent="0.25">
      <c r="A38" s="13">
        <v>41305</v>
      </c>
      <c r="B38" s="8">
        <f t="shared" si="0"/>
        <v>0.72672218016654044</v>
      </c>
      <c r="C38" s="8">
        <f t="shared" si="1"/>
        <v>0.78007169038187341</v>
      </c>
      <c r="D38" s="8">
        <f t="shared" si="2"/>
        <v>0.16661995515695072</v>
      </c>
      <c r="E38" s="8">
        <f t="shared" si="3"/>
        <v>-4.5850622406639063E-3</v>
      </c>
      <c r="F38" s="8">
        <f>PRODUCT($K$2:K38)-1</f>
        <v>0.43484384523598507</v>
      </c>
      <c r="G38" s="8">
        <f t="shared" si="4"/>
        <v>0.93027956645366561</v>
      </c>
      <c r="H38" s="8">
        <f t="shared" si="5"/>
        <v>0.58850496090392967</v>
      </c>
      <c r="I38" s="8">
        <f t="shared" si="6"/>
        <v>0.54142965391419318</v>
      </c>
      <c r="J38" s="8"/>
      <c r="K38" s="20">
        <f t="shared" si="7"/>
        <v>1.0059499999999999</v>
      </c>
      <c r="L38" s="2" t="s">
        <v>61</v>
      </c>
      <c r="M38" s="2">
        <v>45620000</v>
      </c>
      <c r="N38" s="2">
        <v>41699860.495809048</v>
      </c>
      <c r="O38" s="2">
        <v>20812.5</v>
      </c>
      <c r="P38" s="3">
        <v>479.79</v>
      </c>
      <c r="Q38" s="3">
        <v>7.14</v>
      </c>
      <c r="R38" s="2">
        <v>3766292</v>
      </c>
      <c r="S38" s="2">
        <v>3079409</v>
      </c>
      <c r="T38" s="2">
        <f t="shared" si="8"/>
        <v>4220084.9533836776</v>
      </c>
      <c r="U38" s="11">
        <f>IF(_xlfn.NUMBERVALUE(L38)&gt;0,L38,U37)</f>
        <v>1162017.1810798189</v>
      </c>
    </row>
    <row r="39" spans="1:22" x14ac:dyDescent="0.25">
      <c r="A39" s="13">
        <v>41333</v>
      </c>
      <c r="B39" s="8">
        <f t="shared" si="0"/>
        <v>0.63890991672975028</v>
      </c>
      <c r="C39" s="8">
        <f t="shared" si="1"/>
        <v>0.69120743122194539</v>
      </c>
      <c r="D39" s="8">
        <f t="shared" si="2"/>
        <v>0.16661995515695072</v>
      </c>
      <c r="E39" s="8">
        <f t="shared" si="3"/>
        <v>-1.5435684647302939E-2</v>
      </c>
      <c r="F39" s="8">
        <f>PRODUCT($K$2:K39)-1</f>
        <v>0.443381166115139</v>
      </c>
      <c r="G39" s="8">
        <f t="shared" si="4"/>
        <v>0.94065849923430322</v>
      </c>
      <c r="H39" s="8">
        <f t="shared" si="5"/>
        <v>0.59359327912809423</v>
      </c>
      <c r="I39" s="8">
        <f t="shared" si="6"/>
        <v>0.54142965391419318</v>
      </c>
      <c r="J39" s="8"/>
      <c r="K39" s="20">
        <f t="shared" si="7"/>
        <v>1.0059499999999999</v>
      </c>
      <c r="L39" s="2" t="s">
        <v>61</v>
      </c>
      <c r="M39" s="2">
        <v>43300000</v>
      </c>
      <c r="N39" s="2">
        <v>39618131.299139753</v>
      </c>
      <c r="O39" s="2">
        <v>20812.5</v>
      </c>
      <c r="P39" s="3">
        <v>474.56</v>
      </c>
      <c r="Q39" s="3">
        <v>7.14</v>
      </c>
      <c r="R39" s="2">
        <v>3786543</v>
      </c>
      <c r="S39" s="2">
        <v>3089273</v>
      </c>
      <c r="T39" s="2">
        <f t="shared" si="8"/>
        <v>4220084.9533836776</v>
      </c>
      <c r="U39" s="11">
        <f>IF(_xlfn.NUMBERVALUE(L39)&gt;0,L39,U38)</f>
        <v>1162017.1810798189</v>
      </c>
    </row>
    <row r="40" spans="1:22" x14ac:dyDescent="0.25">
      <c r="A40" s="13">
        <v>41364</v>
      </c>
      <c r="B40" s="8">
        <f t="shared" si="0"/>
        <v>0.66048448145344429</v>
      </c>
      <c r="C40" s="8">
        <f t="shared" si="1"/>
        <v>0.70953779385483329</v>
      </c>
      <c r="D40" s="8">
        <f t="shared" si="2"/>
        <v>0.16661995515695072</v>
      </c>
      <c r="E40" s="8">
        <f t="shared" si="3"/>
        <v>1.8755186721991723E-2</v>
      </c>
      <c r="F40" s="8">
        <f>PRODUCT($K$2:K40)-1</f>
        <v>0.45196928405352388</v>
      </c>
      <c r="G40" s="8">
        <f t="shared" si="4"/>
        <v>0.9692967889936468</v>
      </c>
      <c r="H40" s="8">
        <f t="shared" si="5"/>
        <v>0.61312944982817119</v>
      </c>
      <c r="I40" s="8">
        <f t="shared" si="6"/>
        <v>0.57479139991611983</v>
      </c>
      <c r="J40" s="8"/>
      <c r="K40" s="20">
        <f t="shared" si="7"/>
        <v>1.0059499999999999</v>
      </c>
      <c r="L40" s="2">
        <v>1103718.0922188936</v>
      </c>
      <c r="M40" s="2">
        <v>43870000</v>
      </c>
      <c r="N40" s="2">
        <v>40047537.355513267</v>
      </c>
      <c r="O40" s="2">
        <v>20812.5</v>
      </c>
      <c r="P40" s="3">
        <v>491.04</v>
      </c>
      <c r="Q40" s="3">
        <v>7.14</v>
      </c>
      <c r="R40" s="2">
        <v>3842421</v>
      </c>
      <c r="S40" s="2">
        <v>3127145</v>
      </c>
      <c r="T40" s="2">
        <f t="shared" si="8"/>
        <v>4311421.8508955613</v>
      </c>
      <c r="U40" s="11">
        <f>IF(_xlfn.NUMBERVALUE(L40)&gt;0,L40,U39)</f>
        <v>1103718.0922188936</v>
      </c>
      <c r="V40" s="3">
        <v>4.760022022764443</v>
      </c>
    </row>
    <row r="41" spans="1:22" x14ac:dyDescent="0.25">
      <c r="A41" s="13">
        <v>41394</v>
      </c>
      <c r="B41" s="8">
        <f t="shared" si="0"/>
        <v>0.62376987130961403</v>
      </c>
      <c r="C41" s="8">
        <f t="shared" si="1"/>
        <v>0.57811724328006941</v>
      </c>
      <c r="D41" s="8">
        <f t="shared" si="2"/>
        <v>0.16661995515695072</v>
      </c>
      <c r="E41" s="8">
        <f t="shared" si="3"/>
        <v>-1.5539419087136963E-2</v>
      </c>
      <c r="F41" s="8">
        <f>PRODUCT($K$2:K41)-1</f>
        <v>0.46060850129364228</v>
      </c>
      <c r="G41" s="8">
        <f t="shared" si="4"/>
        <v>0.98151154900356907</v>
      </c>
      <c r="H41" s="8">
        <f t="shared" si="5"/>
        <v>0.62976965352597136</v>
      </c>
      <c r="I41" s="8">
        <f t="shared" si="6"/>
        <v>0.57479139991611983</v>
      </c>
      <c r="J41" s="8"/>
      <c r="K41" s="20">
        <f t="shared" si="7"/>
        <v>1.0059499999999999</v>
      </c>
      <c r="L41" s="2" t="s">
        <v>61</v>
      </c>
      <c r="M41" s="2">
        <v>42900000</v>
      </c>
      <c r="N41" s="2">
        <v>36968886.841120549</v>
      </c>
      <c r="O41" s="2">
        <v>20812.5</v>
      </c>
      <c r="P41" s="3">
        <v>474.51</v>
      </c>
      <c r="Q41" s="3">
        <v>7.14</v>
      </c>
      <c r="R41" s="2">
        <v>3866254</v>
      </c>
      <c r="S41" s="2">
        <v>3159403</v>
      </c>
      <c r="T41" s="2">
        <f t="shared" si="8"/>
        <v>4311421.8508955613</v>
      </c>
      <c r="U41" s="11">
        <f>IF(_xlfn.NUMBERVALUE(L41)&gt;0,L41,U40)</f>
        <v>1103718.0922188936</v>
      </c>
    </row>
    <row r="42" spans="1:22" x14ac:dyDescent="0.25">
      <c r="A42" s="13">
        <v>41425</v>
      </c>
      <c r="B42" s="8">
        <f t="shared" si="0"/>
        <v>0.55942467827403486</v>
      </c>
      <c r="C42" s="8">
        <f t="shared" si="1"/>
        <v>0.49279045466222815</v>
      </c>
      <c r="D42" s="8">
        <f t="shared" si="2"/>
        <v>0.16661995515695072</v>
      </c>
      <c r="E42" s="8">
        <f t="shared" si="3"/>
        <v>7.5497925311203362E-2</v>
      </c>
      <c r="F42" s="8">
        <f>PRODUCT($K$2:K42)-1</f>
        <v>0.46929912187633938</v>
      </c>
      <c r="G42" s="8">
        <f t="shared" si="4"/>
        <v>0.99837532877810364</v>
      </c>
      <c r="H42" s="8">
        <f t="shared" si="5"/>
        <v>0.64433460334949988</v>
      </c>
      <c r="I42" s="8">
        <f t="shared" si="6"/>
        <v>0.57479139991611983</v>
      </c>
      <c r="J42" s="8"/>
      <c r="K42" s="20">
        <f t="shared" si="7"/>
        <v>1.0059499999999999</v>
      </c>
      <c r="L42" s="2" t="s">
        <v>61</v>
      </c>
      <c r="M42" s="2">
        <v>41200000</v>
      </c>
      <c r="N42" s="2">
        <v>34970026.232784003</v>
      </c>
      <c r="O42" s="2">
        <v>20812.5</v>
      </c>
      <c r="P42" s="3">
        <v>518.39</v>
      </c>
      <c r="Q42" s="3">
        <v>7.14</v>
      </c>
      <c r="R42" s="2">
        <v>3899158</v>
      </c>
      <c r="S42" s="2">
        <v>3187638</v>
      </c>
      <c r="T42" s="2">
        <f t="shared" si="8"/>
        <v>4311421.8508955613</v>
      </c>
      <c r="U42" s="11">
        <f>IF(_xlfn.NUMBERVALUE(L42)&gt;0,L42,U41)</f>
        <v>1103718.0922188936</v>
      </c>
    </row>
    <row r="43" spans="1:22" x14ac:dyDescent="0.25">
      <c r="A43" s="13">
        <v>41455</v>
      </c>
      <c r="B43" s="8">
        <f t="shared" si="0"/>
        <v>0.42694928084784256</v>
      </c>
      <c r="C43" s="8">
        <f t="shared" si="1"/>
        <v>0.32494705906337362</v>
      </c>
      <c r="D43" s="8">
        <f t="shared" si="2"/>
        <v>0.16661995515695072</v>
      </c>
      <c r="E43" s="8">
        <f t="shared" si="3"/>
        <v>-1.8049792531120712E-3</v>
      </c>
      <c r="F43" s="8">
        <f>PRODUCT($K$2:K43)-1</f>
        <v>0.47804145165150347</v>
      </c>
      <c r="G43" s="8">
        <f t="shared" si="4"/>
        <v>1.036450549518134</v>
      </c>
      <c r="H43" s="8">
        <f t="shared" si="5"/>
        <v>0.66968746872675466</v>
      </c>
      <c r="I43" s="8">
        <f t="shared" si="6"/>
        <v>0.60832454937663627</v>
      </c>
      <c r="J43" s="8"/>
      <c r="K43" s="20">
        <f t="shared" si="7"/>
        <v>1.0059499999999999</v>
      </c>
      <c r="L43" s="2">
        <v>1096480.5144138536</v>
      </c>
      <c r="M43" s="2">
        <v>37700000</v>
      </c>
      <c r="N43" s="2">
        <v>31038136.174966369</v>
      </c>
      <c r="O43" s="2">
        <v>20812.5</v>
      </c>
      <c r="P43" s="3">
        <v>481.13</v>
      </c>
      <c r="Q43" s="3">
        <v>7.14</v>
      </c>
      <c r="R43" s="2">
        <v>3973449</v>
      </c>
      <c r="S43" s="2">
        <v>3236786</v>
      </c>
      <c r="T43" s="2">
        <f t="shared" si="8"/>
        <v>4403228.0122202411</v>
      </c>
      <c r="U43" s="11">
        <f>IF(_xlfn.NUMBERVALUE(L43)&gt;0,L43,U42)</f>
        <v>1096480.5144138536</v>
      </c>
      <c r="V43" s="3">
        <v>5.0030425040215931</v>
      </c>
    </row>
    <row r="44" spans="1:22" x14ac:dyDescent="0.25">
      <c r="A44" s="13">
        <v>41486</v>
      </c>
      <c r="B44" s="8">
        <f t="shared" si="0"/>
        <v>0.44208932626797881</v>
      </c>
      <c r="C44" s="8">
        <f t="shared" si="1"/>
        <v>0.42086981801250389</v>
      </c>
      <c r="D44" s="8">
        <f t="shared" si="2"/>
        <v>0.18609865470852016</v>
      </c>
      <c r="E44" s="8">
        <f t="shared" si="3"/>
        <v>2.0435684647303054E-2</v>
      </c>
      <c r="F44" s="8">
        <f>PRODUCT($K$2:K44)-1</f>
        <v>0.48683579828882984</v>
      </c>
      <c r="G44" s="8">
        <f t="shared" si="4"/>
        <v>1.0403805113255471</v>
      </c>
      <c r="H44" s="8">
        <f t="shared" si="5"/>
        <v>0.6798790647481272</v>
      </c>
      <c r="I44" s="8">
        <f t="shared" si="6"/>
        <v>0.60832454937663627</v>
      </c>
      <c r="J44" s="8"/>
      <c r="K44" s="20">
        <f t="shared" si="7"/>
        <v>1.0059499999999999</v>
      </c>
      <c r="L44" s="2" t="s">
        <v>61</v>
      </c>
      <c r="M44" s="2">
        <v>38100000</v>
      </c>
      <c r="N44" s="2">
        <v>33285217.395438869</v>
      </c>
      <c r="O44" s="2">
        <v>21160</v>
      </c>
      <c r="P44" s="3">
        <v>491.85</v>
      </c>
      <c r="Q44" s="3">
        <v>7.14</v>
      </c>
      <c r="R44" s="2">
        <v>3981117</v>
      </c>
      <c r="S44" s="2">
        <v>3256543</v>
      </c>
      <c r="T44" s="2">
        <f t="shared" si="8"/>
        <v>4403228.0122202411</v>
      </c>
      <c r="U44" s="11">
        <f>IF(_xlfn.NUMBERVALUE(L44)&gt;0,L44,U43)</f>
        <v>1096480.5144138536</v>
      </c>
    </row>
    <row r="45" spans="1:22" x14ac:dyDescent="0.25">
      <c r="A45" s="13">
        <v>41517</v>
      </c>
      <c r="B45" s="8">
        <f t="shared" si="0"/>
        <v>0.45533686601059808</v>
      </c>
      <c r="C45" s="8">
        <f t="shared" si="1"/>
        <v>0.51148756578520405</v>
      </c>
      <c r="D45" s="8">
        <f t="shared" si="2"/>
        <v>0.19871076233183849</v>
      </c>
      <c r="E45" s="8">
        <f t="shared" si="3"/>
        <v>-1.9294605809128673E-2</v>
      </c>
      <c r="F45" s="8">
        <f>PRODUCT($K$2:K45)-1</f>
        <v>0.49568247128864829</v>
      </c>
      <c r="G45" s="8">
        <f t="shared" si="4"/>
        <v>1.0704307787556555</v>
      </c>
      <c r="H45" s="8">
        <f t="shared" si="5"/>
        <v>0.69713725356682654</v>
      </c>
      <c r="I45" s="8">
        <f t="shared" si="6"/>
        <v>0.60832454937663627</v>
      </c>
      <c r="J45" s="8"/>
      <c r="K45" s="20">
        <f t="shared" si="7"/>
        <v>1.0059499999999999</v>
      </c>
      <c r="L45" s="2" t="s">
        <v>61</v>
      </c>
      <c r="M45" s="2">
        <v>38450000</v>
      </c>
      <c r="N45" s="2">
        <v>35408023.718905181</v>
      </c>
      <c r="O45" s="2">
        <v>21385</v>
      </c>
      <c r="P45" s="3">
        <v>472.7</v>
      </c>
      <c r="Q45" s="3">
        <v>7.14</v>
      </c>
      <c r="R45" s="2">
        <v>4039750</v>
      </c>
      <c r="S45" s="2">
        <v>3289999</v>
      </c>
      <c r="T45" s="2">
        <f t="shared" si="8"/>
        <v>4403228.0122202411</v>
      </c>
      <c r="U45" s="11">
        <f>IF(_xlfn.NUMBERVALUE(L45)&gt;0,L45,U44)</f>
        <v>1096480.5144138536</v>
      </c>
    </row>
    <row r="46" spans="1:22" x14ac:dyDescent="0.25">
      <c r="A46" s="13">
        <v>41547</v>
      </c>
      <c r="B46" s="8">
        <f t="shared" si="0"/>
        <v>0.42165026495079494</v>
      </c>
      <c r="C46" s="8">
        <f t="shared" si="1"/>
        <v>0.43613515584554507</v>
      </c>
      <c r="D46" s="8">
        <f t="shared" si="2"/>
        <v>0.19871076233183849</v>
      </c>
      <c r="E46" s="8">
        <f t="shared" si="3"/>
        <v>2.2053941908713792E-2</v>
      </c>
      <c r="F46" s="8">
        <f>PRODUCT($K$2:K46)-1</f>
        <v>0.50458178199281556</v>
      </c>
      <c r="G46" s="8">
        <f t="shared" si="4"/>
        <v>1.0938762707799037</v>
      </c>
      <c r="H46" s="8">
        <f t="shared" si="5"/>
        <v>0.7039737784476916</v>
      </c>
      <c r="I46" s="8">
        <f t="shared" si="6"/>
        <v>0.65874143699111332</v>
      </c>
      <c r="J46" s="8"/>
      <c r="K46" s="20">
        <f t="shared" si="7"/>
        <v>1.0059499999999999</v>
      </c>
      <c r="L46" s="2">
        <v>1179042.2333880758</v>
      </c>
      <c r="M46" s="2">
        <v>37560000</v>
      </c>
      <c r="N46" s="2">
        <v>33642822.351182342</v>
      </c>
      <c r="O46" s="2">
        <v>21385</v>
      </c>
      <c r="P46" s="3">
        <v>492.63</v>
      </c>
      <c r="Q46" s="3">
        <v>7.14</v>
      </c>
      <c r="R46" s="2">
        <v>4085496</v>
      </c>
      <c r="S46" s="2">
        <v>3303252</v>
      </c>
      <c r="T46" s="2">
        <f t="shared" si="8"/>
        <v>4541258.0211006422</v>
      </c>
      <c r="U46" s="11">
        <f>IF(_xlfn.NUMBERVALUE(L46)&gt;0,L46,U45)</f>
        <v>1179042.2333880758</v>
      </c>
      <c r="V46" s="3">
        <v>5.5448396868940764</v>
      </c>
    </row>
    <row r="47" spans="1:22" x14ac:dyDescent="0.25">
      <c r="A47" s="13">
        <v>41578</v>
      </c>
      <c r="B47" s="8">
        <f t="shared" si="0"/>
        <v>0.40651021953065869</v>
      </c>
      <c r="C47" s="8">
        <f t="shared" si="1"/>
        <v>0.43299544456484784</v>
      </c>
      <c r="D47" s="8">
        <f t="shared" si="2"/>
        <v>0.19871076233183849</v>
      </c>
      <c r="E47" s="8">
        <f t="shared" si="3"/>
        <v>3.1970954356846493E-2</v>
      </c>
      <c r="F47" s="8">
        <f>PRODUCT($K$2:K47)-1</f>
        <v>0.51353404359567256</v>
      </c>
      <c r="G47" s="8">
        <f t="shared" si="4"/>
        <v>1.1204086381257548</v>
      </c>
      <c r="H47" s="8">
        <f t="shared" si="5"/>
        <v>0.71042909213962124</v>
      </c>
      <c r="I47" s="8">
        <f t="shared" si="6"/>
        <v>0.65874143699111332</v>
      </c>
      <c r="J47" s="8"/>
      <c r="K47" s="20">
        <f t="shared" si="7"/>
        <v>1.0059499999999999</v>
      </c>
      <c r="L47" s="2" t="s">
        <v>61</v>
      </c>
      <c r="M47" s="2">
        <v>37160000</v>
      </c>
      <c r="N47" s="2">
        <v>33569271.649202406</v>
      </c>
      <c r="O47" s="2">
        <v>21385</v>
      </c>
      <c r="P47" s="3">
        <v>497.41</v>
      </c>
      <c r="Q47" s="3">
        <v>7.14</v>
      </c>
      <c r="R47" s="2">
        <v>4137265</v>
      </c>
      <c r="S47" s="2">
        <v>3315766</v>
      </c>
      <c r="T47" s="2">
        <f t="shared" si="8"/>
        <v>4541258.0211006422</v>
      </c>
      <c r="U47" s="11">
        <f>IF(_xlfn.NUMBERVALUE(L47)&gt;0,L47,U46)</f>
        <v>1179042.2333880758</v>
      </c>
    </row>
    <row r="48" spans="1:22" x14ac:dyDescent="0.25">
      <c r="A48" s="13">
        <v>41608</v>
      </c>
      <c r="B48" s="8">
        <f t="shared" si="0"/>
        <v>0.34557153671461016</v>
      </c>
      <c r="C48" s="8">
        <f t="shared" si="1"/>
        <v>0.35396199837055908</v>
      </c>
      <c r="D48" s="8">
        <f t="shared" si="2"/>
        <v>0.19871076233183849</v>
      </c>
      <c r="E48" s="8">
        <f t="shared" si="3"/>
        <v>5.3485477178423224E-2</v>
      </c>
      <c r="F48" s="8">
        <f>PRODUCT($K$2:K48)-1</f>
        <v>0.52253957115506666</v>
      </c>
      <c r="G48" s="8">
        <f t="shared" si="4"/>
        <v>1.1616322359371125</v>
      </c>
      <c r="H48" s="8">
        <f t="shared" si="5"/>
        <v>0.72530922469175541</v>
      </c>
      <c r="I48" s="8">
        <f t="shared" si="6"/>
        <v>0.65874143699111332</v>
      </c>
      <c r="J48" s="8"/>
      <c r="K48" s="20">
        <f t="shared" si="7"/>
        <v>1.0059499999999999</v>
      </c>
      <c r="L48" s="2" t="s">
        <v>61</v>
      </c>
      <c r="M48" s="2">
        <v>35550000</v>
      </c>
      <c r="N48" s="2">
        <v>31717838.530743081</v>
      </c>
      <c r="O48" s="2">
        <v>21385</v>
      </c>
      <c r="P48" s="3">
        <v>507.78</v>
      </c>
      <c r="Q48" s="3">
        <v>7.14</v>
      </c>
      <c r="R48" s="2">
        <v>4217699</v>
      </c>
      <c r="S48" s="2">
        <v>3344612</v>
      </c>
      <c r="T48" s="2">
        <f t="shared" si="8"/>
        <v>4541258.0211006422</v>
      </c>
      <c r="U48" s="11">
        <f>IF(_xlfn.NUMBERVALUE(L48)&gt;0,L48,U47)</f>
        <v>1179042.2333880758</v>
      </c>
    </row>
    <row r="49" spans="1:22" x14ac:dyDescent="0.25">
      <c r="A49" s="13">
        <v>41639</v>
      </c>
      <c r="B49" s="8">
        <f t="shared" si="0"/>
        <v>0.3164269492808478</v>
      </c>
      <c r="C49" s="8">
        <f t="shared" si="1"/>
        <v>0.30123699877320287</v>
      </c>
      <c r="D49" s="8">
        <f t="shared" si="2"/>
        <v>0.19871076233183849</v>
      </c>
      <c r="E49" s="8">
        <f t="shared" si="3"/>
        <v>4.6950207468879679E-2</v>
      </c>
      <c r="F49" s="8">
        <f>PRODUCT($K$2:K49)-1</f>
        <v>0.53159868160343926</v>
      </c>
      <c r="G49" s="8">
        <f t="shared" si="4"/>
        <v>1.2554188166653342</v>
      </c>
      <c r="H49" s="8">
        <f t="shared" si="5"/>
        <v>0.79410933281335927</v>
      </c>
      <c r="I49" s="8">
        <f t="shared" si="6"/>
        <v>0.70154621815419804</v>
      </c>
      <c r="J49" s="8"/>
      <c r="K49" s="20">
        <f t="shared" si="7"/>
        <v>1.0059499999999999</v>
      </c>
      <c r="L49" s="2">
        <v>1279206.9681456841</v>
      </c>
      <c r="M49" s="2">
        <v>34780000</v>
      </c>
      <c r="N49" s="2">
        <v>30482705.620236721</v>
      </c>
      <c r="O49" s="2">
        <v>21385</v>
      </c>
      <c r="P49" s="3">
        <v>504.63</v>
      </c>
      <c r="Q49" s="3">
        <v>7.14</v>
      </c>
      <c r="R49" s="2">
        <v>4400692</v>
      </c>
      <c r="S49" s="2">
        <v>3477985</v>
      </c>
      <c r="T49" s="2">
        <f t="shared" si="8"/>
        <v>4658447.8081665076</v>
      </c>
      <c r="U49" s="11">
        <f>IF(_xlfn.NUMBERVALUE(L49)&gt;0,L49,U48)</f>
        <v>1279206.9681456841</v>
      </c>
      <c r="V49" s="3">
        <v>6.0461883669307381</v>
      </c>
    </row>
    <row r="50" spans="1:22" x14ac:dyDescent="0.25">
      <c r="A50" s="13">
        <v>41670</v>
      </c>
      <c r="B50" s="8">
        <f t="shared" si="0"/>
        <v>0.33838001514004534</v>
      </c>
      <c r="C50" s="8">
        <f t="shared" si="1"/>
        <v>0.34259417391795544</v>
      </c>
      <c r="D50" s="8">
        <f t="shared" si="2"/>
        <v>0.19871076233183849</v>
      </c>
      <c r="E50" s="8">
        <f t="shared" si="3"/>
        <v>0.15460580912863064</v>
      </c>
      <c r="F50" s="8">
        <f>PRODUCT($K$2:K50)-1</f>
        <v>0.53894716444454915</v>
      </c>
      <c r="G50" s="8">
        <f t="shared" si="4"/>
        <v>1.3033327798175858</v>
      </c>
      <c r="H50" s="8">
        <f t="shared" si="5"/>
        <v>0.78508148840529923</v>
      </c>
      <c r="I50" s="8">
        <f t="shared" si="6"/>
        <v>0.70154621815419804</v>
      </c>
      <c r="J50" s="8"/>
      <c r="K50" s="20">
        <f t="shared" si="7"/>
        <v>1.0047979166666667</v>
      </c>
      <c r="L50" s="2" t="s">
        <v>61</v>
      </c>
      <c r="M50" s="2">
        <v>35360000</v>
      </c>
      <c r="N50" s="2">
        <v>31451536.506855089</v>
      </c>
      <c r="O50" s="2">
        <v>21385</v>
      </c>
      <c r="P50" s="3">
        <v>556.52</v>
      </c>
      <c r="Q50" s="3">
        <v>5.7575000000000003</v>
      </c>
      <c r="R50" s="2">
        <v>4494180</v>
      </c>
      <c r="S50" s="2">
        <v>3460484</v>
      </c>
      <c r="T50" s="2">
        <f t="shared" si="8"/>
        <v>4658447.8081665076</v>
      </c>
      <c r="U50" s="11">
        <f>IF(_xlfn.NUMBERVALUE(L50)&gt;0,L50,U49)</f>
        <v>1279206.9681456841</v>
      </c>
    </row>
    <row r="51" spans="1:22" x14ac:dyDescent="0.25">
      <c r="A51" s="13">
        <v>41698</v>
      </c>
      <c r="B51" s="8">
        <f t="shared" si="0"/>
        <v>0.36903860711582137</v>
      </c>
      <c r="C51" s="8">
        <f t="shared" si="1"/>
        <v>0.43061366754330654</v>
      </c>
      <c r="D51" s="8">
        <f t="shared" si="2"/>
        <v>0.19871076233183849</v>
      </c>
      <c r="E51" s="8">
        <f t="shared" si="3"/>
        <v>0.2167634854771785</v>
      </c>
      <c r="F51" s="8">
        <f>PRODUCT($K$2:K51)-1</f>
        <v>0.54633090469395706</v>
      </c>
      <c r="G51" s="8">
        <f t="shared" si="4"/>
        <v>1.2938148715330953</v>
      </c>
      <c r="H51" s="8">
        <f t="shared" si="5"/>
        <v>0.77334544542902517</v>
      </c>
      <c r="I51" s="8">
        <f t="shared" si="6"/>
        <v>0.70154621815419804</v>
      </c>
      <c r="J51" s="8"/>
      <c r="K51" s="20">
        <f t="shared" si="7"/>
        <v>1.0047979166666667</v>
      </c>
      <c r="L51" s="2" t="s">
        <v>61</v>
      </c>
      <c r="M51" s="2">
        <v>36170000</v>
      </c>
      <c r="N51" s="2">
        <v>33513476.27305714</v>
      </c>
      <c r="O51" s="2">
        <v>21385</v>
      </c>
      <c r="P51" s="3">
        <v>586.48</v>
      </c>
      <c r="Q51" s="3">
        <v>5.7575000000000003</v>
      </c>
      <c r="R51" s="2">
        <v>4475609</v>
      </c>
      <c r="S51" s="2">
        <v>3437733</v>
      </c>
      <c r="T51" s="2">
        <f t="shared" si="8"/>
        <v>4658447.8081665076</v>
      </c>
      <c r="U51" s="11">
        <f>IF(_xlfn.NUMBERVALUE(L51)&gt;0,L51,U50)</f>
        <v>1279206.9681456841</v>
      </c>
    </row>
    <row r="52" spans="1:22" x14ac:dyDescent="0.25">
      <c r="A52" s="13">
        <v>41729</v>
      </c>
      <c r="B52" s="8">
        <f t="shared" si="0"/>
        <v>0.34557153671461016</v>
      </c>
      <c r="C52" s="8">
        <f t="shared" si="1"/>
        <v>0.3894729695243615</v>
      </c>
      <c r="D52" s="8">
        <f t="shared" si="2"/>
        <v>0.19871076233183849</v>
      </c>
      <c r="E52" s="8">
        <f t="shared" si="3"/>
        <v>0.22732365145228228</v>
      </c>
      <c r="F52" s="8">
        <f>PRODUCT($K$2:K52)-1</f>
        <v>0.55375007151376998</v>
      </c>
      <c r="G52" s="8">
        <f t="shared" si="4"/>
        <v>1.3190695400284138</v>
      </c>
      <c r="H52" s="8">
        <f t="shared" si="5"/>
        <v>0.80349414358507709</v>
      </c>
      <c r="I52" s="8">
        <f t="shared" si="6"/>
        <v>0.74554713392075089</v>
      </c>
      <c r="J52" s="8"/>
      <c r="K52" s="20">
        <f t="shared" si="7"/>
        <v>1.0047979166666667</v>
      </c>
      <c r="L52" s="2">
        <v>1224182.624667722</v>
      </c>
      <c r="M52" s="2">
        <v>35550000</v>
      </c>
      <c r="N52" s="2">
        <v>32549716.56755776</v>
      </c>
      <c r="O52" s="2">
        <v>21385</v>
      </c>
      <c r="P52" s="3">
        <v>591.57000000000005</v>
      </c>
      <c r="Q52" s="3">
        <v>5.7575000000000003</v>
      </c>
      <c r="R52" s="2">
        <v>4524885</v>
      </c>
      <c r="S52" s="2">
        <v>3496178</v>
      </c>
      <c r="T52" s="2">
        <f t="shared" si="8"/>
        <v>4778912.3406153359</v>
      </c>
      <c r="U52" s="11">
        <f>IF(_xlfn.NUMBERVALUE(L52)&gt;0,L52,U51)</f>
        <v>1224182.624667722</v>
      </c>
      <c r="V52" s="3">
        <v>5.0642122708130177</v>
      </c>
    </row>
    <row r="53" spans="1:22" x14ac:dyDescent="0.25">
      <c r="A53" s="13">
        <v>41759</v>
      </c>
      <c r="B53" s="8">
        <f t="shared" si="0"/>
        <v>0.34216502649507952</v>
      </c>
      <c r="C53" s="8">
        <f t="shared" si="1"/>
        <v>0.402681246024573</v>
      </c>
      <c r="D53" s="8">
        <f t="shared" si="2"/>
        <v>0.19871076233183849</v>
      </c>
      <c r="E53" s="8">
        <f t="shared" si="3"/>
        <v>0.19917012448132776</v>
      </c>
      <c r="F53" s="8">
        <f>PRODUCT($K$2:K53)-1</f>
        <v>0.56120483487772055</v>
      </c>
      <c r="G53" s="8">
        <f t="shared" si="4"/>
        <v>1.3396546881758784</v>
      </c>
      <c r="H53" s="8">
        <f t="shared" si="5"/>
        <v>0.81977892846125822</v>
      </c>
      <c r="I53" s="8">
        <f t="shared" si="6"/>
        <v>0.74554713392075089</v>
      </c>
      <c r="J53" s="8"/>
      <c r="K53" s="20">
        <f t="shared" si="7"/>
        <v>1.0047979166666667</v>
      </c>
      <c r="L53" s="2" t="s">
        <v>61</v>
      </c>
      <c r="M53" s="2">
        <v>35460000</v>
      </c>
      <c r="N53" s="2">
        <v>32859132.918834452</v>
      </c>
      <c r="O53" s="2">
        <v>21385</v>
      </c>
      <c r="P53" s="3">
        <v>578</v>
      </c>
      <c r="Q53" s="3">
        <v>5.7575000000000003</v>
      </c>
      <c r="R53" s="2">
        <v>4565050</v>
      </c>
      <c r="S53" s="2">
        <v>3527747</v>
      </c>
      <c r="T53" s="2">
        <f t="shared" si="8"/>
        <v>4778912.3406153359</v>
      </c>
      <c r="U53" s="11">
        <f>IF(_xlfn.NUMBERVALUE(L53)&gt;0,L53,U52)</f>
        <v>1224182.624667722</v>
      </c>
    </row>
    <row r="54" spans="1:22" x14ac:dyDescent="0.25">
      <c r="A54" s="13">
        <v>41790</v>
      </c>
      <c r="B54" s="8">
        <f t="shared" si="0"/>
        <v>0.38001514004542014</v>
      </c>
      <c r="C54" s="8">
        <f t="shared" si="1"/>
        <v>0.34854874863122398</v>
      </c>
      <c r="D54" s="8">
        <f t="shared" si="2"/>
        <v>0.19871076233183849</v>
      </c>
      <c r="E54" s="8">
        <f t="shared" si="3"/>
        <v>0.16601659751037334</v>
      </c>
      <c r="F54" s="8">
        <f>PRODUCT($K$2:K54)-1</f>
        <v>0.56869536557506106</v>
      </c>
      <c r="G54" s="8">
        <f t="shared" si="4"/>
        <v>1.3618850081284815</v>
      </c>
      <c r="H54" s="8">
        <f t="shared" si="5"/>
        <v>0.82142860827481035</v>
      </c>
      <c r="I54" s="8">
        <f t="shared" si="6"/>
        <v>0.74554713392075089</v>
      </c>
      <c r="J54" s="8"/>
      <c r="K54" s="20">
        <f t="shared" si="7"/>
        <v>1.0047979166666667</v>
      </c>
      <c r="L54" s="2" t="s">
        <v>61</v>
      </c>
      <c r="M54" s="2">
        <v>36460000</v>
      </c>
      <c r="N54" s="2">
        <v>31591028.04317737</v>
      </c>
      <c r="O54" s="2">
        <v>21385</v>
      </c>
      <c r="P54" s="3">
        <v>562.02</v>
      </c>
      <c r="Q54" s="3">
        <v>5.7575000000000003</v>
      </c>
      <c r="R54" s="2">
        <v>4608425</v>
      </c>
      <c r="S54" s="2">
        <v>3530945</v>
      </c>
      <c r="T54" s="2">
        <f t="shared" si="8"/>
        <v>4778912.3406153359</v>
      </c>
      <c r="U54" s="11">
        <f>IF(_xlfn.NUMBERVALUE(L54)&gt;0,L54,U53)</f>
        <v>1224182.624667722</v>
      </c>
    </row>
    <row r="55" spans="1:22" x14ac:dyDescent="0.25">
      <c r="A55" s="13">
        <v>41820</v>
      </c>
      <c r="B55" s="8">
        <f t="shared" si="0"/>
        <v>0.39364118092354272</v>
      </c>
      <c r="C55" s="8">
        <f t="shared" si="1"/>
        <v>0.44533273124709338</v>
      </c>
      <c r="D55" s="8">
        <f t="shared" si="2"/>
        <v>0.19871076233183849</v>
      </c>
      <c r="E55" s="8">
        <f t="shared" si="3"/>
        <v>0.19943983402489618</v>
      </c>
      <c r="F55" s="8">
        <f>PRODUCT($K$2:K55)-1</f>
        <v>0.57622183521447656</v>
      </c>
      <c r="G55" s="8">
        <f t="shared" si="4"/>
        <v>1.4130718893952534</v>
      </c>
      <c r="H55" s="8">
        <f t="shared" si="5"/>
        <v>0.86084398816027163</v>
      </c>
      <c r="I55" s="8">
        <f t="shared" si="6"/>
        <v>0.78448295897209364</v>
      </c>
      <c r="J55" s="8"/>
      <c r="K55" s="20">
        <f t="shared" si="7"/>
        <v>1.0047979166666667</v>
      </c>
      <c r="L55" s="2">
        <v>1203077.9767304172</v>
      </c>
      <c r="M55" s="2">
        <v>36820000</v>
      </c>
      <c r="N55" s="2">
        <v>33858284.24140653</v>
      </c>
      <c r="O55" s="2">
        <v>21385</v>
      </c>
      <c r="P55" s="3">
        <v>578.13</v>
      </c>
      <c r="Q55" s="3">
        <v>5.7575000000000003</v>
      </c>
      <c r="R55" s="2">
        <v>4708299</v>
      </c>
      <c r="S55" s="2">
        <v>3607354</v>
      </c>
      <c r="T55" s="2">
        <f t="shared" si="8"/>
        <v>4885509.8029318992</v>
      </c>
      <c r="U55" s="11">
        <f>IF(_xlfn.NUMBERVALUE(L55)&gt;0,L55,U54)</f>
        <v>1203077.9767304172</v>
      </c>
      <c r="V55" s="3">
        <v>5.3352583816408172</v>
      </c>
    </row>
    <row r="56" spans="1:22" x14ac:dyDescent="0.25">
      <c r="A56" s="13">
        <v>41851</v>
      </c>
      <c r="B56" s="8">
        <f t="shared" si="0"/>
        <v>0.38872066616199841</v>
      </c>
      <c r="C56" s="8">
        <f t="shared" si="1"/>
        <v>0.40104768551161785</v>
      </c>
      <c r="D56" s="8">
        <f t="shared" si="2"/>
        <v>0.19871076233183849</v>
      </c>
      <c r="E56" s="8">
        <f t="shared" si="3"/>
        <v>0.23665975103734449</v>
      </c>
      <c r="F56" s="8">
        <f>PRODUCT($K$2:K56)-1</f>
        <v>0.58378441622801613</v>
      </c>
      <c r="G56" s="8">
        <f t="shared" si="4"/>
        <v>1.4098046089411245</v>
      </c>
      <c r="H56" s="8">
        <f t="shared" si="5"/>
        <v>0.89499720926585646</v>
      </c>
      <c r="I56" s="8">
        <f t="shared" si="6"/>
        <v>0.78448295897209364</v>
      </c>
      <c r="J56" s="8"/>
      <c r="K56" s="20">
        <f t="shared" si="7"/>
        <v>1.0047979166666667</v>
      </c>
      <c r="L56" s="2" t="s">
        <v>61</v>
      </c>
      <c r="M56" s="2">
        <v>36690000</v>
      </c>
      <c r="N56" s="2">
        <v>32820865.221039049</v>
      </c>
      <c r="O56" s="2">
        <v>21385</v>
      </c>
      <c r="P56" s="3">
        <v>596.07000000000005</v>
      </c>
      <c r="Q56" s="3">
        <v>5.7575000000000003</v>
      </c>
      <c r="R56" s="2">
        <v>4701924</v>
      </c>
      <c r="S56" s="2">
        <v>3673562</v>
      </c>
      <c r="T56" s="2">
        <f t="shared" si="8"/>
        <v>4885509.8029318992</v>
      </c>
      <c r="U56" s="11">
        <f>IF(_xlfn.NUMBERVALUE(L56)&gt;0,L56,U55)</f>
        <v>1203077.9767304172</v>
      </c>
    </row>
    <row r="57" spans="1:22" x14ac:dyDescent="0.25">
      <c r="A57" s="13">
        <v>41882</v>
      </c>
      <c r="B57" s="8">
        <f t="shared" si="0"/>
        <v>0.38266464799394395</v>
      </c>
      <c r="C57" s="8">
        <f t="shared" si="1"/>
        <v>0.40596824614889293</v>
      </c>
      <c r="D57" s="8">
        <f t="shared" si="2"/>
        <v>0.19871076233183849</v>
      </c>
      <c r="E57" s="8">
        <f t="shared" si="3"/>
        <v>0.32085062240663897</v>
      </c>
      <c r="F57" s="8">
        <f>PRODUCT($K$2:K57)-1</f>
        <v>0.59138328187504352</v>
      </c>
      <c r="G57" s="8">
        <f t="shared" si="4"/>
        <v>1.4481181489613379</v>
      </c>
      <c r="H57" s="8">
        <f t="shared" si="5"/>
        <v>0.89499720926585646</v>
      </c>
      <c r="I57" s="8">
        <f t="shared" si="6"/>
        <v>0.78448295897209364</v>
      </c>
      <c r="J57" s="8"/>
      <c r="K57" s="20">
        <f t="shared" si="7"/>
        <v>1.0047979166666667</v>
      </c>
      <c r="L57" s="2" t="s">
        <v>61</v>
      </c>
      <c r="M57" s="2">
        <v>36530000</v>
      </c>
      <c r="N57" s="2">
        <v>32936134.00107988</v>
      </c>
      <c r="O57" s="2">
        <v>21385</v>
      </c>
      <c r="P57" s="3">
        <v>636.65</v>
      </c>
      <c r="Q57" s="3">
        <v>5.7575000000000003</v>
      </c>
      <c r="R57" s="2">
        <v>4776680</v>
      </c>
      <c r="S57" s="2">
        <v>3673562</v>
      </c>
      <c r="T57" s="2">
        <f t="shared" si="8"/>
        <v>4885509.8029318992</v>
      </c>
      <c r="U57" s="11">
        <f>IF(_xlfn.NUMBERVALUE(L57)&gt;0,L57,U56)</f>
        <v>1203077.9767304172</v>
      </c>
    </row>
    <row r="58" spans="1:22" x14ac:dyDescent="0.25">
      <c r="A58" s="13">
        <v>41912</v>
      </c>
      <c r="B58" s="8">
        <f t="shared" si="0"/>
        <v>0.35503406510219526</v>
      </c>
      <c r="C58" s="8">
        <f t="shared" si="1"/>
        <v>0.32363081142699013</v>
      </c>
      <c r="D58" s="8">
        <f t="shared" si="2"/>
        <v>0.19871076233183849</v>
      </c>
      <c r="E58" s="8">
        <f t="shared" si="3"/>
        <v>0.24232365145228196</v>
      </c>
      <c r="F58" s="8">
        <f>PRODUCT($K$2:K58)-1</f>
        <v>0.59901860624620662</v>
      </c>
      <c r="G58" s="8">
        <f t="shared" si="4"/>
        <v>1.4841668870479365</v>
      </c>
      <c r="H58" s="8">
        <f t="shared" si="5"/>
        <v>0.92626735955282236</v>
      </c>
      <c r="I58" s="8">
        <f t="shared" si="6"/>
        <v>0.82973141380801385</v>
      </c>
      <c r="J58" s="8"/>
      <c r="K58" s="20">
        <f t="shared" si="7"/>
        <v>1.0047979166666667</v>
      </c>
      <c r="L58" s="2">
        <v>1302922.2449942087</v>
      </c>
      <c r="M58" s="2">
        <v>35800000</v>
      </c>
      <c r="N58" s="2">
        <v>31007301.83098365</v>
      </c>
      <c r="O58" s="2">
        <v>21385</v>
      </c>
      <c r="P58" s="3">
        <v>598.79999999999995</v>
      </c>
      <c r="Q58" s="3">
        <v>5.7575000000000003</v>
      </c>
      <c r="R58" s="2">
        <v>4847017</v>
      </c>
      <c r="S58" s="2">
        <v>3734181</v>
      </c>
      <c r="T58" s="2">
        <f t="shared" si="8"/>
        <v>5009389.8145380318</v>
      </c>
      <c r="U58" s="11">
        <f>IF(_xlfn.NUMBERVALUE(L58)&gt;0,L58,U57)</f>
        <v>1302922.2449942087</v>
      </c>
      <c r="V58" s="3">
        <v>6.071534295889025</v>
      </c>
    </row>
    <row r="59" spans="1:22" x14ac:dyDescent="0.25">
      <c r="A59" s="13">
        <v>41943</v>
      </c>
      <c r="B59" s="8">
        <f t="shared" si="0"/>
        <v>0.34027252081756254</v>
      </c>
      <c r="C59" s="8">
        <f t="shared" si="1"/>
        <v>0.28054854270709928</v>
      </c>
      <c r="D59" s="8">
        <f t="shared" si="2"/>
        <v>0.19871076233183849</v>
      </c>
      <c r="E59" s="8">
        <f t="shared" si="3"/>
        <v>0.24655601659751047</v>
      </c>
      <c r="F59" s="8">
        <f>PRODUCT($K$2:K59)-1</f>
        <v>0.6066905642674254</v>
      </c>
      <c r="G59" s="8">
        <f t="shared" si="4"/>
        <v>1.5051082328292238</v>
      </c>
      <c r="H59" s="8">
        <f t="shared" si="5"/>
        <v>0.952363045108787</v>
      </c>
      <c r="I59" s="8">
        <f t="shared" si="6"/>
        <v>0.82973141380801385</v>
      </c>
      <c r="J59" s="8"/>
      <c r="K59" s="20">
        <f t="shared" si="7"/>
        <v>1.0047979166666667</v>
      </c>
      <c r="L59" s="2" t="s">
        <v>61</v>
      </c>
      <c r="M59" s="2">
        <v>35410000</v>
      </c>
      <c r="N59" s="2">
        <v>29998058.9981419</v>
      </c>
      <c r="O59" s="2">
        <v>21385</v>
      </c>
      <c r="P59" s="3">
        <v>600.84</v>
      </c>
      <c r="Q59" s="3">
        <v>5.7575000000000003</v>
      </c>
      <c r="R59" s="2">
        <v>4887877</v>
      </c>
      <c r="S59" s="2">
        <v>3784769</v>
      </c>
      <c r="T59" s="2">
        <f t="shared" si="8"/>
        <v>5009389.8145380318</v>
      </c>
      <c r="U59" s="11">
        <f>IF(_xlfn.NUMBERVALUE(L59)&gt;0,L59,U58)</f>
        <v>1302922.2449942087</v>
      </c>
    </row>
    <row r="60" spans="1:22" x14ac:dyDescent="0.25">
      <c r="A60" s="13">
        <v>41973</v>
      </c>
      <c r="B60" s="8">
        <f t="shared" si="0"/>
        <v>0.3277819833459501</v>
      </c>
      <c r="C60" s="8">
        <f t="shared" si="1"/>
        <v>0.28503169348086566</v>
      </c>
      <c r="D60" s="8">
        <f t="shared" si="2"/>
        <v>0.19871076233183849</v>
      </c>
      <c r="E60" s="8">
        <f t="shared" si="3"/>
        <v>0.17547717842323651</v>
      </c>
      <c r="F60" s="8">
        <f>PRODUCT($K$2:K60)-1</f>
        <v>0.61439933170390026</v>
      </c>
      <c r="G60" s="8">
        <f t="shared" si="4"/>
        <v>1.5490317574534997</v>
      </c>
      <c r="H60" s="8">
        <f t="shared" si="5"/>
        <v>0.9877336659517022</v>
      </c>
      <c r="I60" s="8">
        <f t="shared" si="6"/>
        <v>0.82973141380801385</v>
      </c>
      <c r="J60" s="8"/>
      <c r="K60" s="20">
        <f t="shared" si="7"/>
        <v>1.0047979166666667</v>
      </c>
      <c r="L60" s="2" t="s">
        <v>61</v>
      </c>
      <c r="M60" s="2">
        <v>35080000</v>
      </c>
      <c r="N60" s="2">
        <v>30103081.039028149</v>
      </c>
      <c r="O60" s="2">
        <v>21385</v>
      </c>
      <c r="P60" s="3">
        <v>566.58000000000004</v>
      </c>
      <c r="Q60" s="3">
        <v>5.7575000000000003</v>
      </c>
      <c r="R60" s="2">
        <v>4973579</v>
      </c>
      <c r="S60" s="2">
        <v>3853337</v>
      </c>
      <c r="T60" s="2">
        <f t="shared" si="8"/>
        <v>5009389.8145380318</v>
      </c>
      <c r="U60" s="11">
        <f>IF(_xlfn.NUMBERVALUE(L60)&gt;0,L60,U59)</f>
        <v>1302922.2449942087</v>
      </c>
    </row>
    <row r="61" spans="1:22" x14ac:dyDescent="0.25">
      <c r="A61" s="13">
        <v>42004</v>
      </c>
      <c r="B61" s="8">
        <f t="shared" si="0"/>
        <v>0.32967448902346708</v>
      </c>
      <c r="C61" s="8">
        <f t="shared" si="1"/>
        <v>0.29454485746684722</v>
      </c>
      <c r="D61" s="8">
        <f t="shared" si="2"/>
        <v>0.19871076233183849</v>
      </c>
      <c r="E61" s="8">
        <f t="shared" si="3"/>
        <v>0.13201244813278001</v>
      </c>
      <c r="F61" s="8">
        <f>PRODUCT($K$2:K61)-1</f>
        <v>0.62214508516413813</v>
      </c>
      <c r="G61" s="8">
        <f t="shared" si="4"/>
        <v>1.6544237183547872</v>
      </c>
      <c r="H61" s="8">
        <f t="shared" si="5"/>
        <v>1.0481966492619774</v>
      </c>
      <c r="I61" s="8">
        <f t="shared" si="6"/>
        <v>0.87108962532264478</v>
      </c>
      <c r="J61" s="8"/>
      <c r="K61" s="20">
        <f t="shared" si="7"/>
        <v>1.0047979166666667</v>
      </c>
      <c r="L61" s="2">
        <v>1392436.3754485419</v>
      </c>
      <c r="M61" s="2">
        <v>35130000</v>
      </c>
      <c r="N61" s="2">
        <v>30325935.889893219</v>
      </c>
      <c r="O61" s="2">
        <v>21385</v>
      </c>
      <c r="P61" s="3">
        <v>545.63</v>
      </c>
      <c r="Q61" s="3">
        <v>5.7575000000000003</v>
      </c>
      <c r="R61" s="2">
        <v>5179216</v>
      </c>
      <c r="S61" s="2">
        <v>3970548</v>
      </c>
      <c r="T61" s="2">
        <f t="shared" si="8"/>
        <v>5122619.2218408901</v>
      </c>
      <c r="U61" s="11">
        <f>IF(_xlfn.NUMBERVALUE(L61)&gt;0,L61,U60)</f>
        <v>1392436.3754485419</v>
      </c>
      <c r="V61" s="3">
        <v>6.9576442123219451</v>
      </c>
    </row>
    <row r="62" spans="1:22" x14ac:dyDescent="0.25">
      <c r="A62" s="13">
        <v>42035</v>
      </c>
      <c r="B62" s="8">
        <f t="shared" si="0"/>
        <v>0.34102952308856938</v>
      </c>
      <c r="C62" s="8">
        <f t="shared" si="1"/>
        <v>0.73251294653456012</v>
      </c>
      <c r="D62" s="8">
        <f t="shared" si="2"/>
        <v>0.19871076233183849</v>
      </c>
      <c r="E62" s="8">
        <f t="shared" si="3"/>
        <v>0.19516597510373446</v>
      </c>
      <c r="F62" s="8">
        <f>PRODUCT($K$2:K62)-1</f>
        <v>0.62856269665731901</v>
      </c>
      <c r="G62" s="8">
        <f t="shared" si="4"/>
        <v>1.6610751325875222</v>
      </c>
      <c r="H62" s="8">
        <f t="shared" si="5"/>
        <v>1.0489002650423664</v>
      </c>
      <c r="I62" s="8">
        <f t="shared" si="6"/>
        <v>0.87108962532264478</v>
      </c>
      <c r="J62" s="8"/>
      <c r="K62" s="20">
        <f t="shared" si="7"/>
        <v>1.0039562500000001</v>
      </c>
      <c r="L62" s="2" t="s">
        <v>61</v>
      </c>
      <c r="M62" s="2">
        <v>35430000</v>
      </c>
      <c r="N62" s="2">
        <v>40585752.005401321</v>
      </c>
      <c r="O62" s="2">
        <v>21385</v>
      </c>
      <c r="P62" s="3">
        <v>576.07000000000005</v>
      </c>
      <c r="Q62" s="3">
        <v>4.7474999999999996</v>
      </c>
      <c r="R62" s="2">
        <v>5192194</v>
      </c>
      <c r="S62" s="2">
        <v>3971912</v>
      </c>
      <c r="T62" s="2">
        <f t="shared" si="8"/>
        <v>5122619.2218408901</v>
      </c>
      <c r="U62" s="11">
        <f>IF(_xlfn.NUMBERVALUE(L62)&gt;0,L62,U61)</f>
        <v>1392436.3754485419</v>
      </c>
    </row>
    <row r="63" spans="1:22" x14ac:dyDescent="0.25">
      <c r="A63" s="13">
        <v>42063</v>
      </c>
      <c r="B63" s="8">
        <f t="shared" si="0"/>
        <v>0.34935654806964411</v>
      </c>
      <c r="C63" s="8">
        <f t="shared" si="1"/>
        <v>0.33460180205453782</v>
      </c>
      <c r="D63" s="8">
        <f t="shared" si="2"/>
        <v>0.19871076233183849</v>
      </c>
      <c r="E63" s="8">
        <f t="shared" si="3"/>
        <v>0.22939834024896277</v>
      </c>
      <c r="F63" s="8">
        <f>PRODUCT($K$2:K63)-1</f>
        <v>0.63500569782596972</v>
      </c>
      <c r="G63" s="8">
        <f t="shared" si="4"/>
        <v>1.7204335463343932</v>
      </c>
      <c r="H63" s="8">
        <f t="shared" si="5"/>
        <v>1.0614657905515337</v>
      </c>
      <c r="I63" s="8">
        <f t="shared" si="6"/>
        <v>0.87108962532264478</v>
      </c>
      <c r="J63" s="8"/>
      <c r="K63" s="20">
        <f t="shared" si="7"/>
        <v>1.0039562500000001</v>
      </c>
      <c r="L63" s="2" t="s">
        <v>61</v>
      </c>
      <c r="M63" s="2">
        <v>35650000</v>
      </c>
      <c r="N63" s="2">
        <v>31264307.647738941</v>
      </c>
      <c r="O63" s="2">
        <v>21385</v>
      </c>
      <c r="P63" s="3">
        <v>592.57000000000005</v>
      </c>
      <c r="Q63" s="3">
        <v>4.7474999999999996</v>
      </c>
      <c r="R63" s="2">
        <v>5308012</v>
      </c>
      <c r="S63" s="2">
        <v>3996271</v>
      </c>
      <c r="T63" s="2">
        <f t="shared" si="8"/>
        <v>5122619.2218408901</v>
      </c>
      <c r="U63" s="11">
        <f>IF(_xlfn.NUMBERVALUE(L63)&gt;0,L63,U62)</f>
        <v>1392436.3754485419</v>
      </c>
    </row>
    <row r="64" spans="1:22" x14ac:dyDescent="0.25">
      <c r="A64" s="13">
        <v>42094</v>
      </c>
      <c r="B64" s="8">
        <f t="shared" si="0"/>
        <v>0.33118849356548075</v>
      </c>
      <c r="C64" s="8">
        <f t="shared" si="1"/>
        <v>0.31339841448028749</v>
      </c>
      <c r="D64" s="8">
        <f t="shared" si="2"/>
        <v>0.2090807174887892</v>
      </c>
      <c r="E64" s="8">
        <f t="shared" si="3"/>
        <v>0.14342323651452271</v>
      </c>
      <c r="F64" s="8">
        <f>PRODUCT($K$2:K64)-1</f>
        <v>0.64147418911799381</v>
      </c>
      <c r="G64" s="8">
        <f t="shared" si="4"/>
        <v>1.7167460039238116</v>
      </c>
      <c r="H64" s="8">
        <f t="shared" si="5"/>
        <v>1.1023936348564241</v>
      </c>
      <c r="I64" s="8">
        <f t="shared" si="6"/>
        <v>0.90180772010399113</v>
      </c>
      <c r="J64" s="8"/>
      <c r="K64" s="20">
        <f t="shared" si="7"/>
        <v>1.0039562500000001</v>
      </c>
      <c r="L64" s="2">
        <v>1308281.8044481243</v>
      </c>
      <c r="M64" s="2">
        <v>35170000</v>
      </c>
      <c r="N64" s="2">
        <v>30767598.268750321</v>
      </c>
      <c r="O64" s="2">
        <v>21570</v>
      </c>
      <c r="P64" s="3">
        <v>551.13</v>
      </c>
      <c r="Q64" s="3">
        <v>4.7474999999999996</v>
      </c>
      <c r="R64" s="2">
        <v>5300817</v>
      </c>
      <c r="S64" s="2">
        <v>4075612</v>
      </c>
      <c r="T64" s="2">
        <f t="shared" si="8"/>
        <v>5206718.4016212923</v>
      </c>
      <c r="U64" s="11">
        <f>IF(_xlfn.NUMBERVALUE(L64)&gt;0,L64,U63)</f>
        <v>1308281.8044481243</v>
      </c>
      <c r="V64" s="3">
        <v>6.1215242917425314</v>
      </c>
    </row>
    <row r="65" spans="1:22" x14ac:dyDescent="0.25">
      <c r="A65" s="13">
        <v>42124</v>
      </c>
      <c r="B65" s="8">
        <f t="shared" si="0"/>
        <v>0.32740348221044657</v>
      </c>
      <c r="C65" s="8">
        <f t="shared" si="1"/>
        <v>0.31627261718973676</v>
      </c>
      <c r="D65" s="8">
        <f t="shared" si="2"/>
        <v>0.21244394618834073</v>
      </c>
      <c r="E65" s="8">
        <f t="shared" si="3"/>
        <v>0.16680497925311188</v>
      </c>
      <c r="F65" s="8">
        <f>PRODUCT($K$2:K65)-1</f>
        <v>0.64796827137869206</v>
      </c>
      <c r="G65" s="8">
        <f t="shared" si="4"/>
        <v>1.7307965911630188</v>
      </c>
      <c r="H65" s="8">
        <f t="shared" si="5"/>
        <v>1.129815048092448</v>
      </c>
      <c r="I65" s="8">
        <f t="shared" si="6"/>
        <v>0.90180772010399113</v>
      </c>
      <c r="J65" s="8"/>
      <c r="K65" s="20">
        <f t="shared" si="7"/>
        <v>1.0039562500000001</v>
      </c>
      <c r="L65" s="2" t="s">
        <v>61</v>
      </c>
      <c r="M65" s="2">
        <v>35070000</v>
      </c>
      <c r="N65" s="2">
        <v>30834929.181695178</v>
      </c>
      <c r="O65" s="2">
        <v>21630</v>
      </c>
      <c r="P65" s="3">
        <v>562.4</v>
      </c>
      <c r="Q65" s="3">
        <v>4.7474999999999996</v>
      </c>
      <c r="R65" s="2">
        <v>5328232</v>
      </c>
      <c r="S65" s="2">
        <v>4128770</v>
      </c>
      <c r="T65" s="2">
        <f t="shared" si="8"/>
        <v>5206718.4016212923</v>
      </c>
      <c r="U65" s="11">
        <f>IF(_xlfn.NUMBERVALUE(L65)&gt;0,L65,U64)</f>
        <v>1308281.8044481243</v>
      </c>
    </row>
    <row r="66" spans="1:22" x14ac:dyDescent="0.25">
      <c r="A66" s="13">
        <v>42155</v>
      </c>
      <c r="B66" s="8">
        <f t="shared" si="0"/>
        <v>0.32286146858440579</v>
      </c>
      <c r="C66" s="8">
        <f t="shared" si="1"/>
        <v>0.33692016625970078</v>
      </c>
      <c r="D66" s="8">
        <f t="shared" si="2"/>
        <v>0.22421524663677128</v>
      </c>
      <c r="E66" s="8">
        <f t="shared" si="3"/>
        <v>0.18165975103734433</v>
      </c>
      <c r="F66" s="8">
        <f>PRODUCT($K$2:K66)-1</f>
        <v>0.65448804585233411</v>
      </c>
      <c r="G66" s="8">
        <f t="shared" si="4"/>
        <v>1.7555013315128813</v>
      </c>
      <c r="H66" s="8">
        <f t="shared" si="5"/>
        <v>1.155133867544845</v>
      </c>
      <c r="I66" s="8">
        <f t="shared" si="6"/>
        <v>0.90180772010399113</v>
      </c>
      <c r="J66" s="8"/>
      <c r="K66" s="20">
        <f t="shared" si="7"/>
        <v>1.0039562500000001</v>
      </c>
      <c r="L66" s="2" t="s">
        <v>61</v>
      </c>
      <c r="M66" s="2">
        <v>34950000</v>
      </c>
      <c r="N66" s="2">
        <v>31318617.518771742</v>
      </c>
      <c r="O66" s="2">
        <v>21840</v>
      </c>
      <c r="P66" s="3">
        <v>569.55999999999995</v>
      </c>
      <c r="Q66" s="3">
        <v>4.7474999999999996</v>
      </c>
      <c r="R66" s="2">
        <v>5376435</v>
      </c>
      <c r="S66" s="2">
        <v>4177852</v>
      </c>
      <c r="T66" s="2">
        <f t="shared" si="8"/>
        <v>5206718.4016212923</v>
      </c>
      <c r="U66" s="11">
        <f>IF(_xlfn.NUMBERVALUE(L66)&gt;0,L66,U65)</f>
        <v>1308281.8044481243</v>
      </c>
    </row>
    <row r="67" spans="1:22" x14ac:dyDescent="0.25">
      <c r="A67" s="13">
        <v>42185</v>
      </c>
      <c r="B67" s="8">
        <f t="shared" ref="B67:B130" si="9">M67/$M$2-1</f>
        <v>0.30431491294473889</v>
      </c>
      <c r="C67" s="8">
        <f t="shared" ref="C67:C130" si="10">N67/N$2-1</f>
        <v>0.3168000190220297</v>
      </c>
      <c r="D67" s="8">
        <f t="shared" ref="D67:D130" si="11">O67/O$2-1</f>
        <v>0.22421524663677128</v>
      </c>
      <c r="E67" s="8">
        <f t="shared" ref="E67:E130" si="12">P67/P$2-1</f>
        <v>0.23039419087136914</v>
      </c>
      <c r="F67" s="8">
        <f>PRODUCT($K$2:K67)-1</f>
        <v>0.66103361418373763</v>
      </c>
      <c r="G67" s="8">
        <f t="shared" ref="G67:G130" si="13">R67/R$2-1</f>
        <v>1.8151047272294898</v>
      </c>
      <c r="H67" s="8">
        <f t="shared" ref="H67:H130" si="14">S67/S$2-1</f>
        <v>1.2091699087672385</v>
      </c>
      <c r="I67" s="8">
        <f t="shared" ref="I67:I130" si="15">T67/T$2-1</f>
        <v>0.93000395167434813</v>
      </c>
      <c r="J67" s="8"/>
      <c r="K67" s="20">
        <f t="shared" ref="K67:K130" si="16">1+Q67%/12</f>
        <v>1.0039562500000001</v>
      </c>
      <c r="L67" s="2">
        <v>1280272.8667404992</v>
      </c>
      <c r="M67" s="2">
        <v>34460000</v>
      </c>
      <c r="N67" s="2">
        <v>30847284.06770942</v>
      </c>
      <c r="O67" s="2">
        <v>21840</v>
      </c>
      <c r="P67" s="3">
        <v>593.04999999999995</v>
      </c>
      <c r="Q67" s="3">
        <v>4.7474999999999996</v>
      </c>
      <c r="R67" s="2">
        <v>5492731</v>
      </c>
      <c r="S67" s="2">
        <v>4282604</v>
      </c>
      <c r="T67" s="2">
        <f t="shared" si="8"/>
        <v>5283913.2916313745</v>
      </c>
      <c r="U67" s="11">
        <f>IF(_xlfn.NUMBERVALUE(L67)&gt;0,L67,U66)</f>
        <v>1280272.8667404992</v>
      </c>
      <c r="V67" s="3">
        <v>6.4708681017327851</v>
      </c>
    </row>
    <row r="68" spans="1:22" x14ac:dyDescent="0.25">
      <c r="A68" s="13">
        <v>42216</v>
      </c>
      <c r="B68" s="8">
        <f t="shared" si="9"/>
        <v>0.25056775170325518</v>
      </c>
      <c r="C68" s="8">
        <f t="shared" si="10"/>
        <v>0.2306994220876295</v>
      </c>
      <c r="D68" s="8">
        <f t="shared" si="11"/>
        <v>0.22421524663677128</v>
      </c>
      <c r="E68" s="8">
        <f t="shared" si="12"/>
        <v>0.28850622406639004</v>
      </c>
      <c r="F68" s="8">
        <f>PRODUCT($K$2:K68)-1</f>
        <v>0.66760507841985217</v>
      </c>
      <c r="G68" s="8">
        <f t="shared" si="13"/>
        <v>1.8217207779561329</v>
      </c>
      <c r="H68" s="8">
        <f t="shared" si="14"/>
        <v>1.2245896176436299</v>
      </c>
      <c r="I68" s="8">
        <f t="shared" si="15"/>
        <v>0.93000395167434813</v>
      </c>
      <c r="J68" s="8"/>
      <c r="K68" s="20">
        <f t="shared" si="16"/>
        <v>1.0039562500000001</v>
      </c>
      <c r="L68" s="2" t="s">
        <v>61</v>
      </c>
      <c r="M68" s="2">
        <v>33040000</v>
      </c>
      <c r="N68" s="2">
        <v>28830296.268751651</v>
      </c>
      <c r="O68" s="2">
        <v>21840</v>
      </c>
      <c r="P68" s="3">
        <v>621.05999999999995</v>
      </c>
      <c r="Q68" s="3">
        <v>4.7474999999999996</v>
      </c>
      <c r="R68" s="2">
        <v>5505640</v>
      </c>
      <c r="S68" s="2">
        <v>4312496</v>
      </c>
      <c r="T68" s="2">
        <f t="shared" si="8"/>
        <v>5283913.2916313745</v>
      </c>
      <c r="U68" s="11">
        <f>IF(_xlfn.NUMBERVALUE(L68)&gt;0,L68,U67)</f>
        <v>1280272.8667404992</v>
      </c>
    </row>
    <row r="69" spans="1:22" x14ac:dyDescent="0.25">
      <c r="A69" s="13">
        <v>42247</v>
      </c>
      <c r="B69" s="8">
        <f t="shared" si="9"/>
        <v>0.30204390613171839</v>
      </c>
      <c r="C69" s="8">
        <f t="shared" si="10"/>
        <v>0.30980692438571955</v>
      </c>
      <c r="D69" s="8">
        <f t="shared" si="11"/>
        <v>0.26065022421524664</v>
      </c>
      <c r="E69" s="8">
        <f t="shared" si="12"/>
        <v>0.17168049792531126</v>
      </c>
      <c r="F69" s="8">
        <f>PRODUCT($K$2:K69)-1</f>
        <v>0.6742025410113508</v>
      </c>
      <c r="G69" s="8">
        <f t="shared" si="13"/>
        <v>1.8657821690027081</v>
      </c>
      <c r="H69" s="8">
        <f t="shared" si="14"/>
        <v>1.2573613995557524</v>
      </c>
      <c r="I69" s="8">
        <f t="shared" si="15"/>
        <v>0.93000395167434813</v>
      </c>
      <c r="J69" s="8"/>
      <c r="K69" s="20">
        <f t="shared" si="16"/>
        <v>1.0039562500000001</v>
      </c>
      <c r="L69" s="2" t="s">
        <v>61</v>
      </c>
      <c r="M69" s="2">
        <v>34400000</v>
      </c>
      <c r="N69" s="2">
        <v>30683464.221383139</v>
      </c>
      <c r="O69" s="2">
        <v>22490</v>
      </c>
      <c r="P69" s="3">
        <v>564.75</v>
      </c>
      <c r="Q69" s="3">
        <v>4.7474999999999996</v>
      </c>
      <c r="R69" s="2">
        <v>5591611</v>
      </c>
      <c r="S69" s="2">
        <v>4376026</v>
      </c>
      <c r="T69" s="2">
        <f t="shared" si="8"/>
        <v>5283913.2916313745</v>
      </c>
      <c r="U69" s="11">
        <f>IF(_xlfn.NUMBERVALUE(L69)&gt;0,L69,U68)</f>
        <v>1280272.8667404992</v>
      </c>
    </row>
    <row r="70" spans="1:22" x14ac:dyDescent="0.25">
      <c r="A70" s="13">
        <v>42277</v>
      </c>
      <c r="B70" s="8">
        <f t="shared" si="9"/>
        <v>0.28311884935654796</v>
      </c>
      <c r="C70" s="8">
        <f t="shared" si="10"/>
        <v>0.29231970617963254</v>
      </c>
      <c r="D70" s="8">
        <f t="shared" si="11"/>
        <v>0.26177130044843056</v>
      </c>
      <c r="E70" s="8">
        <f t="shared" si="12"/>
        <v>0.16730290456431529</v>
      </c>
      <c r="F70" s="8">
        <f>PRODUCT($K$2:K70)-1</f>
        <v>0.68082610481422723</v>
      </c>
      <c r="G70" s="8">
        <f t="shared" si="13"/>
        <v>1.9191646627346546</v>
      </c>
      <c r="H70" s="8">
        <f t="shared" si="14"/>
        <v>1.2964971901795046</v>
      </c>
      <c r="I70" s="8">
        <f t="shared" si="15"/>
        <v>0.96338179724168849</v>
      </c>
      <c r="J70" s="8"/>
      <c r="K70" s="20">
        <f t="shared" si="16"/>
        <v>1.0039562500000001</v>
      </c>
      <c r="L70" s="2">
        <v>1394303.2194664562</v>
      </c>
      <c r="M70" s="2">
        <v>33900000</v>
      </c>
      <c r="N70" s="2">
        <v>30273809.6194962</v>
      </c>
      <c r="O70" s="2">
        <v>22510</v>
      </c>
      <c r="P70" s="3">
        <v>562.64</v>
      </c>
      <c r="Q70" s="3">
        <v>4.7474999999999996</v>
      </c>
      <c r="R70" s="2">
        <v>5695769</v>
      </c>
      <c r="S70" s="2">
        <v>4451893</v>
      </c>
      <c r="T70" s="2">
        <f t="shared" si="8"/>
        <v>5375294.2661036216</v>
      </c>
      <c r="U70" s="11">
        <f>IF(_xlfn.NUMBERVALUE(L70)&gt;0,L70,U69)</f>
        <v>1394303.2194664562</v>
      </c>
      <c r="V70" s="3">
        <v>6.8744697318987802</v>
      </c>
    </row>
    <row r="71" spans="1:22" x14ac:dyDescent="0.25">
      <c r="A71" s="13">
        <v>42308</v>
      </c>
      <c r="B71" s="8">
        <f t="shared" si="9"/>
        <v>0.27895533686601071</v>
      </c>
      <c r="C71" s="8">
        <f t="shared" si="10"/>
        <v>0.31274741569820796</v>
      </c>
      <c r="D71" s="8">
        <f t="shared" si="11"/>
        <v>0.25252242152466375</v>
      </c>
      <c r="E71" s="8">
        <f t="shared" si="12"/>
        <v>0.26010373443983403</v>
      </c>
      <c r="F71" s="8">
        <f>PRODUCT($K$2:K71)-1</f>
        <v>0.68747587309139879</v>
      </c>
      <c r="G71" s="8">
        <f t="shared" si="13"/>
        <v>1.9331019842514521</v>
      </c>
      <c r="H71" s="8">
        <f t="shared" si="14"/>
        <v>1.3224628822041953</v>
      </c>
      <c r="I71" s="8">
        <f t="shared" si="15"/>
        <v>0.96338179724168849</v>
      </c>
      <c r="J71" s="8"/>
      <c r="K71" s="20">
        <f t="shared" si="16"/>
        <v>1.0039562500000001</v>
      </c>
      <c r="L71" s="2" t="s">
        <v>61</v>
      </c>
      <c r="M71" s="2">
        <v>33790000</v>
      </c>
      <c r="N71" s="2">
        <v>30752348.00745897</v>
      </c>
      <c r="O71" s="2">
        <v>22345</v>
      </c>
      <c r="P71" s="3">
        <v>607.37</v>
      </c>
      <c r="Q71" s="3">
        <v>4.7474999999999996</v>
      </c>
      <c r="R71" s="2">
        <v>5722963</v>
      </c>
      <c r="S71" s="2">
        <v>4502229</v>
      </c>
      <c r="T71" s="2">
        <f t="shared" si="8"/>
        <v>5375294.2661036216</v>
      </c>
      <c r="U71" s="11">
        <f>IF(_xlfn.NUMBERVALUE(L71)&gt;0,L71,U70)</f>
        <v>1394303.2194664562</v>
      </c>
    </row>
    <row r="72" spans="1:22" x14ac:dyDescent="0.25">
      <c r="A72" s="13">
        <v>42338</v>
      </c>
      <c r="B72" s="8">
        <f t="shared" si="9"/>
        <v>0.25208175624526863</v>
      </c>
      <c r="C72" s="8">
        <f t="shared" si="10"/>
        <v>0.23529026581121948</v>
      </c>
      <c r="D72" s="8">
        <f t="shared" si="11"/>
        <v>0.2623318385650224</v>
      </c>
      <c r="E72" s="8">
        <f t="shared" si="12"/>
        <v>0.1892116182572614</v>
      </c>
      <c r="F72" s="8">
        <f>PRODUCT($K$2:K72)-1</f>
        <v>0.69415194951431691</v>
      </c>
      <c r="G72" s="8">
        <f t="shared" si="13"/>
        <v>1.9774237327051956</v>
      </c>
      <c r="H72" s="8">
        <f t="shared" si="14"/>
        <v>1.3658977446122322</v>
      </c>
      <c r="I72" s="8">
        <f t="shared" si="15"/>
        <v>0.96338179724168849</v>
      </c>
      <c r="J72" s="8"/>
      <c r="K72" s="20">
        <f t="shared" si="16"/>
        <v>1.0039562500000001</v>
      </c>
      <c r="L72" s="2" t="s">
        <v>61</v>
      </c>
      <c r="M72" s="2">
        <v>33080000</v>
      </c>
      <c r="N72" s="2">
        <v>28937841.118695699</v>
      </c>
      <c r="O72" s="2">
        <v>22520</v>
      </c>
      <c r="P72" s="3">
        <v>573.20000000000005</v>
      </c>
      <c r="Q72" s="3">
        <v>4.7474999999999996</v>
      </c>
      <c r="R72" s="2">
        <v>5809442</v>
      </c>
      <c r="S72" s="2">
        <v>4586430</v>
      </c>
      <c r="T72" s="2">
        <f t="shared" si="8"/>
        <v>5375294.2661036216</v>
      </c>
      <c r="U72" s="11">
        <f>IF(_xlfn.NUMBERVALUE(L72)&gt;0,L72,U71)</f>
        <v>1394303.2194664562</v>
      </c>
    </row>
    <row r="73" spans="1:22" x14ac:dyDescent="0.25">
      <c r="A73" s="13">
        <v>42369</v>
      </c>
      <c r="B73" s="8">
        <f t="shared" si="9"/>
        <v>0.23769871309613921</v>
      </c>
      <c r="C73" s="8">
        <f t="shared" si="10"/>
        <v>0.22782422196283836</v>
      </c>
      <c r="D73" s="8">
        <f t="shared" si="11"/>
        <v>0.26121076233183849</v>
      </c>
      <c r="E73" s="8">
        <f t="shared" si="12"/>
        <v>0.20130705394190862</v>
      </c>
      <c r="F73" s="8">
        <f>PRODUCT($K$2:K73)-1</f>
        <v>0.70085443816458315</v>
      </c>
      <c r="G73" s="8">
        <f t="shared" si="13"/>
        <v>2.0851373846585934</v>
      </c>
      <c r="H73" s="8">
        <f t="shared" si="14"/>
        <v>1.4017285012880709</v>
      </c>
      <c r="I73" s="8">
        <f t="shared" si="15"/>
        <v>0.99317162599482534</v>
      </c>
      <c r="J73" s="8"/>
      <c r="K73" s="20">
        <f t="shared" si="16"/>
        <v>1.0039562500000001</v>
      </c>
      <c r="L73" s="2">
        <v>1473994.1732797672</v>
      </c>
      <c r="M73" s="2">
        <v>32700000</v>
      </c>
      <c r="N73" s="2">
        <v>28762941.990410421</v>
      </c>
      <c r="O73" s="2">
        <v>22500</v>
      </c>
      <c r="P73" s="3">
        <v>579.03</v>
      </c>
      <c r="Q73" s="3">
        <v>4.7474999999999996</v>
      </c>
      <c r="R73" s="2">
        <v>6019609</v>
      </c>
      <c r="S73" s="2">
        <v>4655890</v>
      </c>
      <c r="T73" s="2">
        <f t="shared" si="8"/>
        <v>5456852.0639348468</v>
      </c>
      <c r="U73" s="11">
        <f>IF(_xlfn.NUMBERVALUE(L73)&gt;0,L73,U72)</f>
        <v>1473994.1732797672</v>
      </c>
      <c r="V73" s="3">
        <v>7.0082917425764668</v>
      </c>
    </row>
    <row r="74" spans="1:22" x14ac:dyDescent="0.25">
      <c r="A74" s="13">
        <v>42400</v>
      </c>
      <c r="B74" s="8">
        <f t="shared" si="9"/>
        <v>0.24602573807721417</v>
      </c>
      <c r="C74" s="8">
        <f t="shared" si="10"/>
        <v>0.51284903856774466</v>
      </c>
      <c r="D74" s="8">
        <f t="shared" si="11"/>
        <v>0.47589686098654704</v>
      </c>
      <c r="E74" s="8">
        <f t="shared" si="12"/>
        <v>0.13122406639004147</v>
      </c>
      <c r="F74" s="8">
        <f>PRODUCT($K$2:K74)-1</f>
        <v>0.70964218609510032</v>
      </c>
      <c r="G74" s="8">
        <f t="shared" si="13"/>
        <v>2.1304093351455848</v>
      </c>
      <c r="H74" s="8">
        <f t="shared" si="14"/>
        <v>1.42003282852512</v>
      </c>
      <c r="I74" s="8">
        <f t="shared" si="15"/>
        <v>0.99317162599482534</v>
      </c>
      <c r="J74" s="8"/>
      <c r="K74" s="20">
        <f t="shared" si="16"/>
        <v>1.0051666666666668</v>
      </c>
      <c r="L74" s="2" t="s">
        <v>61</v>
      </c>
      <c r="M74" s="2">
        <v>32920000</v>
      </c>
      <c r="N74" s="2">
        <v>35439917.504648499</v>
      </c>
      <c r="O74" s="2">
        <v>26330</v>
      </c>
      <c r="P74" s="3">
        <v>545.25</v>
      </c>
      <c r="Q74" s="3">
        <v>6.2</v>
      </c>
      <c r="R74" s="2">
        <v>6107942</v>
      </c>
      <c r="S74" s="2">
        <v>4691374</v>
      </c>
      <c r="T74" s="2">
        <f t="shared" si="8"/>
        <v>5456852.0639348468</v>
      </c>
      <c r="U74" s="11">
        <f>IF(_xlfn.NUMBERVALUE(L74)&gt;0,L74,U73)</f>
        <v>1473994.1732797672</v>
      </c>
    </row>
    <row r="75" spans="1:22" x14ac:dyDescent="0.25">
      <c r="A75" s="13">
        <v>42429</v>
      </c>
      <c r="B75" s="8">
        <f t="shared" si="9"/>
        <v>0.27138531415594236</v>
      </c>
      <c r="C75" s="8">
        <f t="shared" si="10"/>
        <v>0.41932678100853527</v>
      </c>
      <c r="D75" s="8">
        <f t="shared" si="11"/>
        <v>0.25280269058295968</v>
      </c>
      <c r="E75" s="8">
        <f t="shared" si="12"/>
        <v>0.15975103734439844</v>
      </c>
      <c r="F75" s="8">
        <f>PRODUCT($K$2:K75)-1</f>
        <v>0.71847533738992508</v>
      </c>
      <c r="G75" s="8">
        <f t="shared" si="13"/>
        <v>2.1461271323169142</v>
      </c>
      <c r="H75" s="8">
        <f t="shared" si="14"/>
        <v>1.4173390736826033</v>
      </c>
      <c r="I75" s="8">
        <f t="shared" si="15"/>
        <v>0.99317162599482534</v>
      </c>
      <c r="J75" s="8"/>
      <c r="K75" s="20">
        <f t="shared" si="16"/>
        <v>1.0051666666666668</v>
      </c>
      <c r="L75" s="2" t="s">
        <v>61</v>
      </c>
      <c r="M75" s="2">
        <v>33590000</v>
      </c>
      <c r="N75" s="2">
        <v>33249070.29633436</v>
      </c>
      <c r="O75" s="2">
        <v>22350</v>
      </c>
      <c r="P75" s="3">
        <v>559</v>
      </c>
      <c r="Q75" s="3">
        <v>6.2</v>
      </c>
      <c r="R75" s="2">
        <v>6138610</v>
      </c>
      <c r="S75" s="2">
        <v>4686152</v>
      </c>
      <c r="T75" s="2">
        <f t="shared" si="8"/>
        <v>5456852.0639348468</v>
      </c>
      <c r="U75" s="11">
        <f>IF(_xlfn.NUMBERVALUE(L75)&gt;0,L75,U74)</f>
        <v>1473994.1732797672</v>
      </c>
    </row>
    <row r="76" spans="1:22" x14ac:dyDescent="0.25">
      <c r="A76" s="13">
        <v>42460</v>
      </c>
      <c r="B76" s="8">
        <f t="shared" si="9"/>
        <v>0.26192278576835726</v>
      </c>
      <c r="C76" s="8">
        <f t="shared" si="10"/>
        <v>0.4180837800968995</v>
      </c>
      <c r="D76" s="8">
        <f t="shared" si="11"/>
        <v>0.25140134529147984</v>
      </c>
      <c r="E76" s="8">
        <f t="shared" si="12"/>
        <v>0.16390041493775942</v>
      </c>
      <c r="F76" s="8">
        <f>PRODUCT($K$2:K76)-1</f>
        <v>0.7273541266331065</v>
      </c>
      <c r="G76" s="8">
        <f t="shared" si="13"/>
        <v>2.2124198683452545</v>
      </c>
      <c r="H76" s="8">
        <f t="shared" si="14"/>
        <v>1.4746239214921606</v>
      </c>
      <c r="I76" s="8">
        <f t="shared" si="15"/>
        <v>1.017281608874316</v>
      </c>
      <c r="J76" s="8"/>
      <c r="K76" s="20">
        <f t="shared" si="16"/>
        <v>1.0051666666666668</v>
      </c>
      <c r="L76" s="2">
        <v>1374289.4718870574</v>
      </c>
      <c r="M76" s="2">
        <v>33340000</v>
      </c>
      <c r="N76" s="2">
        <v>33219951.82605508</v>
      </c>
      <c r="O76" s="2">
        <v>22325</v>
      </c>
      <c r="P76" s="3">
        <v>561</v>
      </c>
      <c r="Q76" s="3">
        <v>6.2</v>
      </c>
      <c r="R76" s="2">
        <v>6267958</v>
      </c>
      <c r="S76" s="2">
        <v>4797202</v>
      </c>
      <c r="T76" s="2">
        <f t="shared" si="8"/>
        <v>5522859.7313737795</v>
      </c>
      <c r="U76" s="11">
        <f>IF(_xlfn.NUMBERVALUE(L76)&gt;0,L76,U75)</f>
        <v>1374289.4718870574</v>
      </c>
      <c r="V76" s="3">
        <v>5.48117509451298</v>
      </c>
    </row>
    <row r="77" spans="1:22" x14ac:dyDescent="0.25">
      <c r="A77" s="13">
        <v>42490</v>
      </c>
      <c r="B77" s="8">
        <f t="shared" si="9"/>
        <v>0.30015140045420141</v>
      </c>
      <c r="C77" s="8">
        <f t="shared" si="10"/>
        <v>0.48094649370393183</v>
      </c>
      <c r="D77" s="8">
        <f t="shared" si="11"/>
        <v>0.25112107623318392</v>
      </c>
      <c r="E77" s="8">
        <f t="shared" si="12"/>
        <v>0.24143153526970962</v>
      </c>
      <c r="F77" s="8">
        <f>PRODUCT($K$2:K77)-1</f>
        <v>0.73617802729665716</v>
      </c>
      <c r="G77" s="8">
        <f t="shared" si="13"/>
        <v>2.2423384195280356</v>
      </c>
      <c r="H77" s="8">
        <f t="shared" si="14"/>
        <v>1.4993108279453078</v>
      </c>
      <c r="I77" s="8">
        <f t="shared" si="15"/>
        <v>1.017281608874316</v>
      </c>
      <c r="J77" s="8"/>
      <c r="K77" s="20">
        <f t="shared" si="16"/>
        <v>1.0051083333333333</v>
      </c>
      <c r="L77" s="2" t="s">
        <v>61</v>
      </c>
      <c r="M77" s="2">
        <v>34350000</v>
      </c>
      <c r="N77" s="2">
        <v>34692570.261573762</v>
      </c>
      <c r="O77" s="2">
        <v>22320</v>
      </c>
      <c r="P77" s="3">
        <v>598.37</v>
      </c>
      <c r="Q77" s="3">
        <v>6.13</v>
      </c>
      <c r="R77" s="2">
        <v>6326334</v>
      </c>
      <c r="S77" s="2">
        <v>4845059</v>
      </c>
      <c r="T77" s="2">
        <f t="shared" si="8"/>
        <v>5522859.7313737795</v>
      </c>
      <c r="U77" s="11">
        <f>IF(_xlfn.NUMBERVALUE(L77)&gt;0,L77,U76)</f>
        <v>1374289.4718870574</v>
      </c>
    </row>
    <row r="78" spans="1:22" x14ac:dyDescent="0.25">
      <c r="A78" s="13">
        <v>42521</v>
      </c>
      <c r="B78" s="8">
        <f t="shared" si="9"/>
        <v>0.26230128690386079</v>
      </c>
      <c r="C78" s="8">
        <f t="shared" si="10"/>
        <v>0.40360867341729501</v>
      </c>
      <c r="D78" s="8">
        <f t="shared" si="11"/>
        <v>0.25840807174887903</v>
      </c>
      <c r="E78" s="8">
        <f t="shared" si="12"/>
        <v>0.28215767634854783</v>
      </c>
      <c r="F78" s="8">
        <f>PRODUCT($K$2:K78)-1</f>
        <v>0.74503976931098381</v>
      </c>
      <c r="G78" s="8">
        <f t="shared" si="13"/>
        <v>2.294134680631664</v>
      </c>
      <c r="H78" s="8">
        <f t="shared" si="14"/>
        <v>1.5334851987920919</v>
      </c>
      <c r="I78" s="8">
        <f t="shared" si="15"/>
        <v>1.017281608874316</v>
      </c>
      <c r="J78" s="8"/>
      <c r="K78" s="20">
        <f t="shared" si="16"/>
        <v>1.0051041666666667</v>
      </c>
      <c r="L78" s="2" t="s">
        <v>61</v>
      </c>
      <c r="M78" s="2">
        <v>33350000</v>
      </c>
      <c r="N78" s="2">
        <v>32880858.781396881</v>
      </c>
      <c r="O78" s="2">
        <v>22450</v>
      </c>
      <c r="P78" s="3">
        <v>618</v>
      </c>
      <c r="Q78" s="3">
        <v>6.125</v>
      </c>
      <c r="R78" s="2">
        <v>6427397</v>
      </c>
      <c r="S78" s="2">
        <v>4911308</v>
      </c>
      <c r="T78" s="2">
        <f t="shared" ref="T78:T141" si="17">U78+U75+U72+U69</f>
        <v>5522859.7313737795</v>
      </c>
      <c r="U78" s="11">
        <f>IF(_xlfn.NUMBERVALUE(L78)&gt;0,L78,U77)</f>
        <v>1374289.4718870574</v>
      </c>
    </row>
    <row r="79" spans="1:22" x14ac:dyDescent="0.25">
      <c r="A79" s="13">
        <v>42551</v>
      </c>
      <c r="B79" s="8">
        <f t="shared" si="9"/>
        <v>0.33308099924299772</v>
      </c>
      <c r="C79" s="8">
        <f t="shared" si="10"/>
        <v>0.51618591756987642</v>
      </c>
      <c r="D79" s="8">
        <f t="shared" si="11"/>
        <v>0.25252242152466375</v>
      </c>
      <c r="E79" s="8">
        <f t="shared" si="12"/>
        <v>0.31120331950207469</v>
      </c>
      <c r="F79" s="8">
        <f>PRODUCT($K$2:K79)-1</f>
        <v>0.75410428144601593</v>
      </c>
      <c r="G79" s="8">
        <f t="shared" si="13"/>
        <v>2.3786980489594929</v>
      </c>
      <c r="H79" s="8">
        <f t="shared" si="14"/>
        <v>1.5988059165627235</v>
      </c>
      <c r="I79" s="8">
        <f t="shared" si="15"/>
        <v>1.0467266403363178</v>
      </c>
      <c r="J79" s="8"/>
      <c r="K79" s="20">
        <f t="shared" si="16"/>
        <v>1.0051944444444445</v>
      </c>
      <c r="L79" s="2">
        <v>1360886.6877534545</v>
      </c>
      <c r="M79" s="2">
        <v>35220000</v>
      </c>
      <c r="N79" s="2">
        <v>35518087.04671365</v>
      </c>
      <c r="O79" s="2">
        <v>22345</v>
      </c>
      <c r="P79" s="3">
        <v>632</v>
      </c>
      <c r="Q79" s="3">
        <v>6.2333333333333334</v>
      </c>
      <c r="R79" s="2">
        <v>6592394</v>
      </c>
      <c r="S79" s="2">
        <v>5037936</v>
      </c>
      <c r="T79" s="2">
        <f t="shared" si="17"/>
        <v>5603473.5523867356</v>
      </c>
      <c r="U79" s="11">
        <f>IF(_xlfn.NUMBERVALUE(L79)&gt;0,L79,U78)</f>
        <v>1360886.6877534545</v>
      </c>
      <c r="V79" s="3">
        <v>5.7762064186290152</v>
      </c>
    </row>
    <row r="80" spans="1:22" x14ac:dyDescent="0.25">
      <c r="A80" s="13">
        <v>42582</v>
      </c>
      <c r="B80" s="8">
        <f t="shared" si="9"/>
        <v>0.39099167297501891</v>
      </c>
      <c r="C80" s="8">
        <f t="shared" si="10"/>
        <v>0.55033506513063757</v>
      </c>
      <c r="D80" s="8">
        <f t="shared" si="11"/>
        <v>0.25168161434977576</v>
      </c>
      <c r="E80" s="8">
        <f t="shared" si="12"/>
        <v>0.35317427385892119</v>
      </c>
      <c r="F80" s="8">
        <f>PRODUCT($K$2:K80)-1</f>
        <v>0.76325674491452888</v>
      </c>
      <c r="G80" s="8">
        <f t="shared" si="13"/>
        <v>2.3874374475953841</v>
      </c>
      <c r="H80" s="8">
        <f t="shared" si="14"/>
        <v>1.6333351903837801</v>
      </c>
      <c r="I80" s="8">
        <f t="shared" si="15"/>
        <v>1.0467266403363178</v>
      </c>
      <c r="J80" s="8"/>
      <c r="K80" s="20">
        <f t="shared" si="16"/>
        <v>1.005217741935484</v>
      </c>
      <c r="L80" s="2" t="s">
        <v>61</v>
      </c>
      <c r="M80" s="2">
        <v>36750000</v>
      </c>
      <c r="N80" s="2">
        <v>36318063.079717718</v>
      </c>
      <c r="O80" s="2">
        <v>22330</v>
      </c>
      <c r="P80" s="3">
        <v>652.23</v>
      </c>
      <c r="Q80" s="3">
        <v>6.2612903225806447</v>
      </c>
      <c r="R80" s="2">
        <v>6609446</v>
      </c>
      <c r="S80" s="2">
        <v>5104873</v>
      </c>
      <c r="T80" s="2">
        <f t="shared" si="17"/>
        <v>5603473.5523867356</v>
      </c>
      <c r="U80" s="11">
        <f>IF(_xlfn.NUMBERVALUE(L80)&gt;0,L80,U79)</f>
        <v>1360886.6877534545</v>
      </c>
    </row>
    <row r="81" spans="1:22" x14ac:dyDescent="0.25">
      <c r="A81" s="13">
        <v>42613</v>
      </c>
      <c r="B81" s="8">
        <f t="shared" si="9"/>
        <v>0.37736563209689633</v>
      </c>
      <c r="C81" s="8">
        <f t="shared" si="10"/>
        <v>0.50228807563645317</v>
      </c>
      <c r="D81" s="8">
        <f t="shared" si="11"/>
        <v>0.25196188340807169</v>
      </c>
      <c r="E81" s="8">
        <f t="shared" si="12"/>
        <v>0.40041493775933601</v>
      </c>
      <c r="F81" s="8">
        <f>PRODUCT($K$2:K81)-1</f>
        <v>0.77295465701155885</v>
      </c>
      <c r="G81" s="8">
        <f t="shared" si="13"/>
        <v>2.4247305710847473</v>
      </c>
      <c r="H81" s="8">
        <f t="shared" si="14"/>
        <v>1.6333351903837801</v>
      </c>
      <c r="I81" s="8">
        <f t="shared" si="15"/>
        <v>1.0467266403363178</v>
      </c>
      <c r="J81" s="8"/>
      <c r="K81" s="20">
        <f t="shared" si="16"/>
        <v>1.0055000000000001</v>
      </c>
      <c r="L81" s="2" t="s">
        <v>61</v>
      </c>
      <c r="M81" s="2">
        <v>36390000</v>
      </c>
      <c r="N81" s="2">
        <v>35192516.973919429</v>
      </c>
      <c r="O81" s="2">
        <v>22335</v>
      </c>
      <c r="P81" s="3">
        <v>675</v>
      </c>
      <c r="Q81" s="3">
        <v>6.6</v>
      </c>
      <c r="R81" s="2">
        <v>6682211</v>
      </c>
      <c r="S81" s="2">
        <v>5104873</v>
      </c>
      <c r="T81" s="2">
        <f t="shared" si="17"/>
        <v>5603473.5523867356</v>
      </c>
      <c r="U81" s="11">
        <f>IF(_xlfn.NUMBERVALUE(L81)&gt;0,L81,U80)</f>
        <v>1360886.6877534545</v>
      </c>
    </row>
    <row r="82" spans="1:22" x14ac:dyDescent="0.25">
      <c r="A82" s="13">
        <v>42643</v>
      </c>
      <c r="B82" s="8">
        <f t="shared" si="9"/>
        <v>0.37130961392884188</v>
      </c>
      <c r="C82" s="8">
        <f t="shared" si="10"/>
        <v>0.50964493551970236</v>
      </c>
      <c r="D82" s="8">
        <f t="shared" si="11"/>
        <v>0.25196188340807169</v>
      </c>
      <c r="E82" s="8">
        <f t="shared" si="12"/>
        <v>0.42323651452282163</v>
      </c>
      <c r="F82" s="8">
        <f>PRODUCT($K$2:K82)-1</f>
        <v>0.78280563632457922</v>
      </c>
      <c r="G82" s="8">
        <f t="shared" si="13"/>
        <v>2.5004197494418716</v>
      </c>
      <c r="H82" s="8">
        <f t="shared" si="14"/>
        <v>1.6813879182361324</v>
      </c>
      <c r="I82" s="8">
        <f t="shared" si="15"/>
        <v>1.0874598174613572</v>
      </c>
      <c r="J82" s="8"/>
      <c r="K82" s="20">
        <f t="shared" si="16"/>
        <v>1.0055562499999999</v>
      </c>
      <c r="L82" s="2">
        <v>1505821.4243046658</v>
      </c>
      <c r="M82" s="2">
        <v>36230000</v>
      </c>
      <c r="N82" s="2">
        <v>35364858.364705153</v>
      </c>
      <c r="O82" s="2">
        <v>22335</v>
      </c>
      <c r="P82" s="3">
        <v>686</v>
      </c>
      <c r="Q82" s="3">
        <v>6.6675000000000004</v>
      </c>
      <c r="R82" s="2">
        <v>6829893</v>
      </c>
      <c r="S82" s="2">
        <v>5198026</v>
      </c>
      <c r="T82" s="2">
        <f t="shared" si="17"/>
        <v>5714991.7572249444</v>
      </c>
      <c r="U82" s="11">
        <f>IF(_xlfn.NUMBERVALUE(L82)&gt;0,L82,U81)</f>
        <v>1505821.4243046658</v>
      </c>
      <c r="V82" s="3">
        <v>6.5611034883742869</v>
      </c>
    </row>
    <row r="83" spans="1:22" x14ac:dyDescent="0.25">
      <c r="A83" s="13">
        <v>42674</v>
      </c>
      <c r="B83" s="8">
        <f t="shared" si="9"/>
        <v>0.3557910673732021</v>
      </c>
      <c r="C83" s="8">
        <f t="shared" si="10"/>
        <v>0.46355876240079619</v>
      </c>
      <c r="D83" s="8">
        <f t="shared" si="11"/>
        <v>0.25364349775784745</v>
      </c>
      <c r="E83" s="8">
        <f t="shared" si="12"/>
        <v>0.4024896265560165</v>
      </c>
      <c r="F83" s="8">
        <f>PRODUCT($K$2:K83)-1</f>
        <v>0.79272249267663453</v>
      </c>
      <c r="G83" s="8">
        <f t="shared" si="13"/>
        <v>2.5176207638107306</v>
      </c>
      <c r="H83" s="8">
        <f t="shared" si="14"/>
        <v>1.7057183741729678</v>
      </c>
      <c r="I83" s="8">
        <f t="shared" si="15"/>
        <v>1.0874598174613572</v>
      </c>
      <c r="J83" s="8"/>
      <c r="K83" s="20">
        <f t="shared" si="16"/>
        <v>1.0055624999999999</v>
      </c>
      <c r="L83" s="2" t="s">
        <v>61</v>
      </c>
      <c r="M83" s="2">
        <v>35820000</v>
      </c>
      <c r="N83" s="2">
        <v>34285246.234346621</v>
      </c>
      <c r="O83" s="2">
        <v>22365</v>
      </c>
      <c r="P83" s="3">
        <v>676</v>
      </c>
      <c r="Q83" s="3">
        <v>6.6749999999999998</v>
      </c>
      <c r="R83" s="2">
        <v>6863455</v>
      </c>
      <c r="S83" s="2">
        <v>5245192</v>
      </c>
      <c r="T83" s="2">
        <f t="shared" si="17"/>
        <v>5714991.7572249444</v>
      </c>
      <c r="U83" s="11">
        <f>IF(_xlfn.NUMBERVALUE(L83)&gt;0,L83,U82)</f>
        <v>1505821.4243046658</v>
      </c>
    </row>
    <row r="84" spans="1:22" x14ac:dyDescent="0.25">
      <c r="A84" s="13">
        <v>42704</v>
      </c>
      <c r="B84" s="8">
        <f t="shared" si="9"/>
        <v>0.3557910673732021</v>
      </c>
      <c r="C84" s="8">
        <f t="shared" si="10"/>
        <v>0.36903942863169603</v>
      </c>
      <c r="D84" s="8">
        <f t="shared" si="11"/>
        <v>0.27354260089686089</v>
      </c>
      <c r="E84" s="8">
        <f t="shared" si="12"/>
        <v>0.3796680497925311</v>
      </c>
      <c r="F84" s="8">
        <f>PRODUCT($K$2:K84)-1</f>
        <v>0.80269451154214821</v>
      </c>
      <c r="G84" s="8">
        <f t="shared" si="13"/>
        <v>2.5727704078181026</v>
      </c>
      <c r="H84" s="8">
        <f t="shared" si="14"/>
        <v>1.7601959807238163</v>
      </c>
      <c r="I84" s="8">
        <f t="shared" si="15"/>
        <v>1.0874598174613572</v>
      </c>
      <c r="J84" s="8"/>
      <c r="K84" s="20">
        <f t="shared" si="16"/>
        <v>1.0055624999999999</v>
      </c>
      <c r="L84" s="2" t="s">
        <v>61</v>
      </c>
      <c r="M84" s="2">
        <v>35820000</v>
      </c>
      <c r="N84" s="2">
        <v>32071041.57414962</v>
      </c>
      <c r="O84" s="2">
        <v>22720</v>
      </c>
      <c r="P84" s="3">
        <v>665</v>
      </c>
      <c r="Q84" s="3">
        <v>6.6749999999999998</v>
      </c>
      <c r="R84" s="2">
        <v>6971061</v>
      </c>
      <c r="S84" s="2">
        <v>5350800</v>
      </c>
      <c r="T84" s="2">
        <f t="shared" si="17"/>
        <v>5714991.7572249444</v>
      </c>
      <c r="U84" s="11">
        <f>IF(_xlfn.NUMBERVALUE(L84)&gt;0,L84,U83)</f>
        <v>1505821.4243046658</v>
      </c>
    </row>
    <row r="85" spans="1:22" x14ac:dyDescent="0.25">
      <c r="A85" s="13">
        <v>42735</v>
      </c>
      <c r="B85" s="8">
        <f t="shared" si="9"/>
        <v>0.36638909916729756</v>
      </c>
      <c r="C85" s="8">
        <f t="shared" si="10"/>
        <v>0.34856464734129267</v>
      </c>
      <c r="D85" s="8">
        <f t="shared" si="11"/>
        <v>0.27718609865470856</v>
      </c>
      <c r="E85" s="8">
        <f t="shared" si="12"/>
        <v>0.37939834024896268</v>
      </c>
      <c r="F85" s="8">
        <f>PRODUCT($K$2:K85)-1</f>
        <v>0.81272199976260118</v>
      </c>
      <c r="G85" s="8">
        <f t="shared" si="13"/>
        <v>2.6520769140882057</v>
      </c>
      <c r="H85" s="8">
        <f t="shared" si="14"/>
        <v>1.8399490755499706</v>
      </c>
      <c r="I85" s="8">
        <f t="shared" si="15"/>
        <v>1.1365202917724533</v>
      </c>
      <c r="J85" s="8"/>
      <c r="K85" s="20">
        <f t="shared" si="16"/>
        <v>1.0055624999999999</v>
      </c>
      <c r="L85" s="2">
        <v>1608310.6300317056</v>
      </c>
      <c r="M85" s="2">
        <v>36100000</v>
      </c>
      <c r="N85" s="2">
        <v>31591400.485475909</v>
      </c>
      <c r="O85" s="2">
        <v>22785</v>
      </c>
      <c r="P85" s="3">
        <v>664.87</v>
      </c>
      <c r="Q85" s="3">
        <v>6.6749999999999998</v>
      </c>
      <c r="R85" s="2">
        <v>7125801</v>
      </c>
      <c r="S85" s="2">
        <v>5505406</v>
      </c>
      <c r="T85" s="2">
        <f t="shared" si="17"/>
        <v>5849308.2139768833</v>
      </c>
      <c r="U85" s="11">
        <f>IF(_xlfn.NUMBERVALUE(L85)&gt;0,L85,U84)</f>
        <v>1608310.6300317056</v>
      </c>
      <c r="V85" s="3">
        <v>6.6829522902470906</v>
      </c>
    </row>
    <row r="86" spans="1:22" x14ac:dyDescent="0.25">
      <c r="A86" s="13">
        <v>42766</v>
      </c>
      <c r="B86" s="8">
        <f t="shared" si="9"/>
        <v>0.39288417865253589</v>
      </c>
      <c r="C86" s="8">
        <f t="shared" si="10"/>
        <v>0.40764140300799112</v>
      </c>
      <c r="D86" s="8">
        <f t="shared" si="11"/>
        <v>0.2684977578475336</v>
      </c>
      <c r="E86" s="8">
        <f t="shared" si="12"/>
        <v>0.44663900414937752</v>
      </c>
      <c r="F86" s="8">
        <f>PRODUCT($K$2:K86)-1</f>
        <v>0.82264689635673149</v>
      </c>
      <c r="G86" s="8">
        <f t="shared" si="13"/>
        <v>2.7458388941165377</v>
      </c>
      <c r="H86" s="8">
        <f t="shared" si="14"/>
        <v>1.8910659366395022</v>
      </c>
      <c r="I86" s="8">
        <f t="shared" si="15"/>
        <v>1.1365202917724533</v>
      </c>
      <c r="J86" s="8"/>
      <c r="K86" s="20">
        <f t="shared" si="16"/>
        <v>1.0054751344086021</v>
      </c>
      <c r="L86" s="2" t="s">
        <v>61</v>
      </c>
      <c r="M86" s="2">
        <v>36800000</v>
      </c>
      <c r="N86" s="2">
        <v>32975329.280679561</v>
      </c>
      <c r="O86" s="2">
        <v>22630</v>
      </c>
      <c r="P86" s="3">
        <v>697.28</v>
      </c>
      <c r="Q86" s="3">
        <v>6.5701612903225808</v>
      </c>
      <c r="R86" s="2">
        <v>7308746</v>
      </c>
      <c r="S86" s="2">
        <v>5604499</v>
      </c>
      <c r="T86" s="2">
        <f t="shared" si="17"/>
        <v>5849308.2139768833</v>
      </c>
      <c r="U86" s="11">
        <f>IF(_xlfn.NUMBERVALUE(L86)&gt;0,L86,U85)</f>
        <v>1608310.6300317056</v>
      </c>
    </row>
    <row r="87" spans="1:22" x14ac:dyDescent="0.25">
      <c r="A87" s="13">
        <v>42794</v>
      </c>
      <c r="B87" s="8">
        <f t="shared" si="9"/>
        <v>0.39704769114307337</v>
      </c>
      <c r="C87" s="8">
        <f t="shared" si="10"/>
        <v>0.47081404782018765</v>
      </c>
      <c r="D87" s="8">
        <f t="shared" si="11"/>
        <v>0.27886771300448432</v>
      </c>
      <c r="E87" s="8">
        <f t="shared" si="12"/>
        <v>0.47510373443983411</v>
      </c>
      <c r="F87" s="8">
        <f>PRODUCT($K$2:K87)-1</f>
        <v>0.83269315246403108</v>
      </c>
      <c r="G87" s="8">
        <f t="shared" si="13"/>
        <v>2.7169489596979033</v>
      </c>
      <c r="H87" s="8">
        <f t="shared" si="14"/>
        <v>1.8901781633564743</v>
      </c>
      <c r="I87" s="8">
        <f t="shared" si="15"/>
        <v>1.1365202917724533</v>
      </c>
      <c r="J87" s="8"/>
      <c r="K87" s="20">
        <f t="shared" si="16"/>
        <v>1.0055119047619048</v>
      </c>
      <c r="L87" s="2" t="s">
        <v>61</v>
      </c>
      <c r="M87" s="2">
        <v>36910000</v>
      </c>
      <c r="N87" s="2">
        <v>34455208.14738676</v>
      </c>
      <c r="O87" s="2">
        <v>22815</v>
      </c>
      <c r="P87" s="3">
        <v>711</v>
      </c>
      <c r="Q87" s="3">
        <v>6.6142857142857139</v>
      </c>
      <c r="R87" s="2">
        <v>7252377</v>
      </c>
      <c r="S87" s="2">
        <v>5602778</v>
      </c>
      <c r="T87" s="2">
        <f t="shared" si="17"/>
        <v>5849308.2139768833</v>
      </c>
      <c r="U87" s="11">
        <f>IF(_xlfn.NUMBERVALUE(L87)&gt;0,L87,U86)</f>
        <v>1608310.6300317056</v>
      </c>
    </row>
    <row r="88" spans="1:22" x14ac:dyDescent="0.25">
      <c r="A88" s="13">
        <v>42825</v>
      </c>
      <c r="B88" s="8">
        <f t="shared" si="9"/>
        <v>0.38304314912944748</v>
      </c>
      <c r="C88" s="8">
        <f t="shared" si="10"/>
        <v>0.46298597144816855</v>
      </c>
      <c r="D88" s="8">
        <f t="shared" si="11"/>
        <v>0.27746636771300448</v>
      </c>
      <c r="E88" s="8">
        <f t="shared" si="12"/>
        <v>0.49792531120331951</v>
      </c>
      <c r="F88" s="8">
        <f>PRODUCT($K$2:K88)-1</f>
        <v>0.84284029492736035</v>
      </c>
      <c r="G88" s="8">
        <f t="shared" si="13"/>
        <v>2.7794398625640899</v>
      </c>
      <c r="H88" s="8">
        <f t="shared" si="14"/>
        <v>1.9641558312931573</v>
      </c>
      <c r="I88" s="8">
        <f t="shared" si="15"/>
        <v>1.1845474273107488</v>
      </c>
      <c r="J88" s="8"/>
      <c r="K88" s="20">
        <f t="shared" si="16"/>
        <v>1.0055367383512546</v>
      </c>
      <c r="L88" s="2">
        <v>1505776.8813349116</v>
      </c>
      <c r="M88" s="2">
        <v>36540000</v>
      </c>
      <c r="N88" s="2">
        <v>34271828.065321803</v>
      </c>
      <c r="O88" s="2">
        <v>22790</v>
      </c>
      <c r="P88" s="3">
        <v>722</v>
      </c>
      <c r="Q88" s="3">
        <v>6.6440860215053767</v>
      </c>
      <c r="R88" s="2">
        <v>7374307</v>
      </c>
      <c r="S88" s="2">
        <v>5746188</v>
      </c>
      <c r="T88" s="2">
        <f t="shared" si="17"/>
        <v>5980795.6234247377</v>
      </c>
      <c r="U88" s="11">
        <f>IF(_xlfn.NUMBERVALUE(L88)&gt;0,L88,U87)</f>
        <v>1505776.8813349116</v>
      </c>
      <c r="V88" s="3">
        <v>5.2</v>
      </c>
    </row>
    <row r="89" spans="1:22" x14ac:dyDescent="0.25">
      <c r="A89" s="13">
        <v>42855</v>
      </c>
      <c r="B89" s="8">
        <f t="shared" si="9"/>
        <v>0.39591218773656323</v>
      </c>
      <c r="C89" s="8">
        <f t="shared" si="10"/>
        <v>0.48340777937275337</v>
      </c>
      <c r="D89" s="8">
        <f t="shared" si="11"/>
        <v>0.27606502242152464</v>
      </c>
      <c r="E89" s="8">
        <f t="shared" si="12"/>
        <v>0.48906639004149377</v>
      </c>
      <c r="F89" s="8">
        <f>PRODUCT($K$2:K89)-1</f>
        <v>0.85309237381809866</v>
      </c>
      <c r="G89" s="8">
        <f t="shared" si="13"/>
        <v>2.7942048951292664</v>
      </c>
      <c r="H89" s="8">
        <f t="shared" si="14"/>
        <v>2.0007748027141825</v>
      </c>
      <c r="I89" s="8">
        <f t="shared" si="15"/>
        <v>1.1845474273107488</v>
      </c>
      <c r="J89" s="8"/>
      <c r="K89" s="20">
        <f t="shared" si="16"/>
        <v>1.0055631944444445</v>
      </c>
      <c r="L89" s="2" t="s">
        <v>61</v>
      </c>
      <c r="M89" s="2">
        <v>36880000</v>
      </c>
      <c r="N89" s="2">
        <v>34750228.202871718</v>
      </c>
      <c r="O89" s="2">
        <v>22765</v>
      </c>
      <c r="P89" s="3">
        <v>717.73</v>
      </c>
      <c r="Q89" s="3">
        <v>6.6758333333333333</v>
      </c>
      <c r="R89" s="2">
        <v>7403116</v>
      </c>
      <c r="S89" s="2">
        <v>5817176</v>
      </c>
      <c r="T89" s="2">
        <f t="shared" si="17"/>
        <v>5980795.6234247377</v>
      </c>
      <c r="U89" s="11">
        <f>IF(_xlfn.NUMBERVALUE(L89)&gt;0,L89,U88)</f>
        <v>1505776.8813349116</v>
      </c>
    </row>
    <row r="90" spans="1:22" x14ac:dyDescent="0.25">
      <c r="A90" s="13">
        <v>42886</v>
      </c>
      <c r="B90" s="8">
        <f t="shared" si="9"/>
        <v>0.37774413323239964</v>
      </c>
      <c r="C90" s="8">
        <f t="shared" si="10"/>
        <v>0.4890111493490279</v>
      </c>
      <c r="D90" s="8">
        <f t="shared" si="11"/>
        <v>0.27494394618834073</v>
      </c>
      <c r="E90" s="8">
        <f t="shared" si="12"/>
        <v>0.53112033195020736</v>
      </c>
      <c r="F90" s="8">
        <f>PRODUCT($K$2:K90)-1</f>
        <v>0.86340020014746166</v>
      </c>
      <c r="G90" s="8">
        <f t="shared" si="13"/>
        <v>2.8268233731249652</v>
      </c>
      <c r="H90" s="8">
        <f t="shared" si="14"/>
        <v>2.0392018190840822</v>
      </c>
      <c r="I90" s="8">
        <f t="shared" si="15"/>
        <v>1.1845474273107488</v>
      </c>
      <c r="J90" s="8"/>
      <c r="K90" s="20">
        <f t="shared" si="16"/>
        <v>1.0055624999999999</v>
      </c>
      <c r="L90" s="2" t="s">
        <v>61</v>
      </c>
      <c r="M90" s="2">
        <v>36400000</v>
      </c>
      <c r="N90" s="2">
        <v>34881492.436542511</v>
      </c>
      <c r="O90" s="2">
        <v>22745</v>
      </c>
      <c r="P90" s="3">
        <v>738</v>
      </c>
      <c r="Q90" s="3">
        <v>6.6749999999999998</v>
      </c>
      <c r="R90" s="2">
        <v>7466760</v>
      </c>
      <c r="S90" s="2">
        <v>5891669</v>
      </c>
      <c r="T90" s="2">
        <f t="shared" si="17"/>
        <v>5980795.6234247377</v>
      </c>
      <c r="U90" s="11">
        <f>IF(_xlfn.NUMBERVALUE(L90)&gt;0,L90,U89)</f>
        <v>1505776.8813349116</v>
      </c>
    </row>
    <row r="91" spans="1:22" x14ac:dyDescent="0.25">
      <c r="A91" s="13">
        <v>42916</v>
      </c>
      <c r="B91" s="8">
        <f t="shared" si="9"/>
        <v>0.3766086298258895</v>
      </c>
      <c r="C91" s="8">
        <f t="shared" si="10"/>
        <v>0.45396747964658735</v>
      </c>
      <c r="D91" s="8">
        <f t="shared" si="11"/>
        <v>0.27634529147982057</v>
      </c>
      <c r="E91" s="8">
        <f t="shared" si="12"/>
        <v>0.60995850622406644</v>
      </c>
      <c r="F91" s="8">
        <f>PRODUCT($K$2:K91)-1</f>
        <v>0.87376536376078184</v>
      </c>
      <c r="G91" s="8">
        <f t="shared" si="13"/>
        <v>2.9037497616807197</v>
      </c>
      <c r="H91" s="8">
        <f t="shared" si="14"/>
        <v>2.0957974948389473</v>
      </c>
      <c r="I91" s="8">
        <f t="shared" si="15"/>
        <v>1.2315804961684775</v>
      </c>
      <c r="J91" s="8"/>
      <c r="K91" s="20">
        <f t="shared" si="16"/>
        <v>1.0055624999999999</v>
      </c>
      <c r="L91" s="2">
        <v>1489652.5679828539</v>
      </c>
      <c r="M91" s="2">
        <v>36370000</v>
      </c>
      <c r="N91" s="2">
        <v>34060561.377558313</v>
      </c>
      <c r="O91" s="2">
        <v>22770</v>
      </c>
      <c r="P91" s="3">
        <v>776</v>
      </c>
      <c r="Q91" s="3">
        <v>6.6749999999999998</v>
      </c>
      <c r="R91" s="2">
        <v>7616856</v>
      </c>
      <c r="S91" s="2">
        <v>6001383</v>
      </c>
      <c r="T91" s="2">
        <f t="shared" si="17"/>
        <v>6109561.5036541373</v>
      </c>
      <c r="U91" s="11">
        <f>IF(_xlfn.NUMBERVALUE(L91)&gt;0,L91,U90)</f>
        <v>1489652.5679828539</v>
      </c>
      <c r="V91" s="3">
        <v>6.4</v>
      </c>
    </row>
    <row r="92" spans="1:22" x14ac:dyDescent="0.25">
      <c r="A92" s="13">
        <v>42947</v>
      </c>
      <c r="B92" s="8">
        <f t="shared" si="9"/>
        <v>0.37509462528387583</v>
      </c>
      <c r="C92" s="8">
        <f t="shared" si="10"/>
        <v>0.48399359716280888</v>
      </c>
      <c r="D92" s="8">
        <f t="shared" si="11"/>
        <v>0.27606502242152464</v>
      </c>
      <c r="E92" s="8">
        <f t="shared" si="12"/>
        <v>0.62655601659751037</v>
      </c>
      <c r="F92" s="8">
        <f>PRODUCT($K$2:K92)-1</f>
        <v>0.88430151617918695</v>
      </c>
      <c r="G92" s="8">
        <f t="shared" si="13"/>
        <v>2.9303974448073049</v>
      </c>
      <c r="H92" s="8">
        <f t="shared" si="14"/>
        <v>2.1119419692369275</v>
      </c>
      <c r="I92" s="8">
        <f t="shared" si="15"/>
        <v>1.2315804961684775</v>
      </c>
      <c r="J92" s="8"/>
      <c r="K92" s="20">
        <f t="shared" si="16"/>
        <v>1.0056229838709678</v>
      </c>
      <c r="L92" s="2" t="s">
        <v>61</v>
      </c>
      <c r="M92" s="2">
        <v>36330000</v>
      </c>
      <c r="N92" s="2">
        <v>34763951.537866183</v>
      </c>
      <c r="O92" s="2">
        <v>22765</v>
      </c>
      <c r="P92" s="3">
        <v>784</v>
      </c>
      <c r="Q92" s="3">
        <v>6.7475806451612907</v>
      </c>
      <c r="R92" s="2">
        <v>7668850</v>
      </c>
      <c r="S92" s="2">
        <v>6032680</v>
      </c>
      <c r="T92" s="2">
        <f t="shared" si="17"/>
        <v>6109561.5036541373</v>
      </c>
      <c r="U92" s="11">
        <f>IF(_xlfn.NUMBERVALUE(L92)&gt;0,L92,U91)</f>
        <v>1489652.5679828539</v>
      </c>
    </row>
    <row r="93" spans="1:22" x14ac:dyDescent="0.25">
      <c r="A93" s="13">
        <v>42978</v>
      </c>
      <c r="B93" s="8">
        <f t="shared" si="9"/>
        <v>0.38380015140045409</v>
      </c>
      <c r="C93" s="8">
        <f t="shared" si="10"/>
        <v>0.54210669333187433</v>
      </c>
      <c r="D93" s="8">
        <f t="shared" si="11"/>
        <v>0.27606502242152464</v>
      </c>
      <c r="E93" s="8">
        <f t="shared" si="12"/>
        <v>0.62398340248962647</v>
      </c>
      <c r="F93" s="8">
        <f>PRODUCT($K$2:K93)-1</f>
        <v>0.89483486296116155</v>
      </c>
      <c r="G93" s="8">
        <f t="shared" si="13"/>
        <v>2.9783288334553117</v>
      </c>
      <c r="H93" s="8">
        <f t="shared" si="14"/>
        <v>2.1466280606512678</v>
      </c>
      <c r="I93" s="8">
        <f t="shared" si="15"/>
        <v>1.2315804961684775</v>
      </c>
      <c r="J93" s="8"/>
      <c r="K93" s="20">
        <f t="shared" si="16"/>
        <v>1.0055900537634408</v>
      </c>
      <c r="L93" s="2" t="s">
        <v>61</v>
      </c>
      <c r="M93" s="2">
        <v>36560000</v>
      </c>
      <c r="N93" s="2">
        <v>36125305.699231282</v>
      </c>
      <c r="O93" s="2">
        <v>22765</v>
      </c>
      <c r="P93" s="3">
        <v>782.76</v>
      </c>
      <c r="Q93" s="3">
        <v>6.7080645161290331</v>
      </c>
      <c r="R93" s="2">
        <v>7762372</v>
      </c>
      <c r="S93" s="2">
        <v>6099921</v>
      </c>
      <c r="T93" s="2">
        <f t="shared" si="17"/>
        <v>6109561.5036541373</v>
      </c>
      <c r="U93" s="11">
        <f>IF(_xlfn.NUMBERVALUE(L93)&gt;0,L93,U92)</f>
        <v>1489652.5679828539</v>
      </c>
    </row>
    <row r="94" spans="1:22" x14ac:dyDescent="0.25">
      <c r="A94" s="13">
        <v>43008</v>
      </c>
      <c r="B94" s="8">
        <f t="shared" si="9"/>
        <v>0.38531415594246776</v>
      </c>
      <c r="C94" s="8">
        <f t="shared" si="10"/>
        <v>0.50112122411291371</v>
      </c>
      <c r="D94" s="8">
        <f t="shared" si="11"/>
        <v>0.27578475336322872</v>
      </c>
      <c r="E94" s="8">
        <f t="shared" si="12"/>
        <v>0.66892116182572603</v>
      </c>
      <c r="F94" s="8">
        <f>PRODUCT($K$2:K94)-1</f>
        <v>0.9055985776688158</v>
      </c>
      <c r="G94" s="8">
        <f t="shared" si="13"/>
        <v>3.0374632783302689</v>
      </c>
      <c r="H94" s="8">
        <f t="shared" si="14"/>
        <v>2.1867455087750791</v>
      </c>
      <c r="I94" s="8">
        <f t="shared" si="15"/>
        <v>1.2848280019255149</v>
      </c>
      <c r="J94" s="8"/>
      <c r="K94" s="20">
        <f t="shared" si="16"/>
        <v>1.0056805555555555</v>
      </c>
      <c r="L94" s="2">
        <v>1651601.0239639017</v>
      </c>
      <c r="M94" s="2">
        <v>36600000</v>
      </c>
      <c r="N94" s="2">
        <v>35165182.374973878</v>
      </c>
      <c r="O94" s="2">
        <v>22760</v>
      </c>
      <c r="P94" s="3">
        <v>804.42</v>
      </c>
      <c r="Q94" s="3">
        <v>6.8166666666666664</v>
      </c>
      <c r="R94" s="2">
        <v>7877753</v>
      </c>
      <c r="S94" s="2">
        <v>6177691</v>
      </c>
      <c r="T94" s="2">
        <f t="shared" si="17"/>
        <v>6255341.1033133725</v>
      </c>
      <c r="U94" s="11">
        <f>IF(_xlfn.NUMBERVALUE(L94)&gt;0,L94,U93)</f>
        <v>1651601.0239639017</v>
      </c>
      <c r="V94" s="3">
        <v>7.4</v>
      </c>
    </row>
    <row r="95" spans="1:22" x14ac:dyDescent="0.25">
      <c r="A95" s="13">
        <v>43039</v>
      </c>
      <c r="B95" s="8">
        <f t="shared" si="9"/>
        <v>0.38455715367146093</v>
      </c>
      <c r="C95" s="8">
        <f t="shared" si="10"/>
        <v>0.48381019905041134</v>
      </c>
      <c r="D95" s="8">
        <f t="shared" si="11"/>
        <v>0.2755044843049328</v>
      </c>
      <c r="E95" s="8">
        <f t="shared" si="12"/>
        <v>0.7370954356846473</v>
      </c>
      <c r="F95" s="8">
        <f>PRODUCT($K$2:K95)-1</f>
        <v>0.91623816972746663</v>
      </c>
      <c r="G95" s="8">
        <f t="shared" si="13"/>
        <v>3.0496144865321417</v>
      </c>
      <c r="H95" s="8">
        <f t="shared" si="14"/>
        <v>2.2295979795291139</v>
      </c>
      <c r="I95" s="8">
        <f t="shared" si="15"/>
        <v>1.2848280019255149</v>
      </c>
      <c r="J95" s="8"/>
      <c r="K95" s="20">
        <f t="shared" si="16"/>
        <v>1.0055833333333333</v>
      </c>
      <c r="L95" s="2" t="s">
        <v>61</v>
      </c>
      <c r="M95" s="2">
        <v>36580000</v>
      </c>
      <c r="N95" s="2">
        <v>34759655.263877057</v>
      </c>
      <c r="O95" s="2">
        <v>22755</v>
      </c>
      <c r="P95" s="3">
        <v>837.28</v>
      </c>
      <c r="Q95" s="3">
        <v>6.7</v>
      </c>
      <c r="R95" s="2">
        <v>7901462</v>
      </c>
      <c r="S95" s="2">
        <v>6260763</v>
      </c>
      <c r="T95" s="2">
        <f t="shared" si="17"/>
        <v>6255341.1033133725</v>
      </c>
      <c r="U95" s="11">
        <f>IF(_xlfn.NUMBERVALUE(L95)&gt;0,L95,U94)</f>
        <v>1651601.0239639017</v>
      </c>
    </row>
    <row r="96" spans="1:22" x14ac:dyDescent="0.25">
      <c r="A96" s="13">
        <v>43069</v>
      </c>
      <c r="B96" s="8">
        <f t="shared" si="9"/>
        <v>0.38190764572293712</v>
      </c>
      <c r="C96" s="8">
        <f t="shared" si="10"/>
        <v>0.49107109153852746</v>
      </c>
      <c r="D96" s="8">
        <f t="shared" si="11"/>
        <v>0.2755044843049328</v>
      </c>
      <c r="E96" s="8">
        <f t="shared" si="12"/>
        <v>0.97080912863070523</v>
      </c>
      <c r="F96" s="8">
        <f>PRODUCT($K$2:K96)-1</f>
        <v>0.92693716617511157</v>
      </c>
      <c r="G96" s="8">
        <f t="shared" si="13"/>
        <v>3.1321877607417932</v>
      </c>
      <c r="H96" s="8">
        <f t="shared" si="14"/>
        <v>2.2862101623990614</v>
      </c>
      <c r="I96" s="8">
        <f t="shared" si="15"/>
        <v>1.2848280019255149</v>
      </c>
      <c r="J96" s="8"/>
      <c r="K96" s="20">
        <f t="shared" si="16"/>
        <v>1.0055833333333333</v>
      </c>
      <c r="L96" s="2" t="s">
        <v>61</v>
      </c>
      <c r="M96" s="2">
        <v>36510000</v>
      </c>
      <c r="N96" s="2">
        <v>34929748.527797543</v>
      </c>
      <c r="O96" s="2">
        <v>22755</v>
      </c>
      <c r="P96" s="3">
        <v>949.93</v>
      </c>
      <c r="Q96" s="3">
        <v>6.7</v>
      </c>
      <c r="R96" s="2">
        <v>8062576</v>
      </c>
      <c r="S96" s="2">
        <v>6370509</v>
      </c>
      <c r="T96" s="2">
        <f t="shared" si="17"/>
        <v>6255341.1033133725</v>
      </c>
      <c r="U96" s="11">
        <f>IF(_xlfn.NUMBERVALUE(L96)&gt;0,L96,U95)</f>
        <v>1651601.0239639017</v>
      </c>
    </row>
    <row r="97" spans="1:22" x14ac:dyDescent="0.25">
      <c r="A97" s="13">
        <v>43100</v>
      </c>
      <c r="B97" s="8">
        <f t="shared" si="9"/>
        <v>0.37925813777441331</v>
      </c>
      <c r="C97" s="8">
        <f t="shared" si="10"/>
        <v>0.52849069354431188</v>
      </c>
      <c r="D97" s="8">
        <f t="shared" si="11"/>
        <v>0.27438340807174888</v>
      </c>
      <c r="E97" s="8">
        <f t="shared" si="12"/>
        <v>1.0419917012448132</v>
      </c>
      <c r="F97" s="8">
        <f>PRODUCT($K$2:K97)-1</f>
        <v>0.93769460370160096</v>
      </c>
      <c r="G97" s="8">
        <f t="shared" si="13"/>
        <v>3.1988003058687022</v>
      </c>
      <c r="H97" s="8">
        <f t="shared" si="14"/>
        <v>2.2651666857530186</v>
      </c>
      <c r="I97" s="8">
        <f t="shared" si="15"/>
        <v>1.3700362759374065</v>
      </c>
      <c r="J97" s="8"/>
      <c r="K97" s="20">
        <f t="shared" si="16"/>
        <v>1.0055826612903225</v>
      </c>
      <c r="L97" s="2">
        <v>1841591.567730204</v>
      </c>
      <c r="M97" s="2">
        <v>36440000</v>
      </c>
      <c r="N97" s="2">
        <v>35806338.044883318</v>
      </c>
      <c r="O97" s="2">
        <v>22735</v>
      </c>
      <c r="P97" s="3">
        <v>984.24</v>
      </c>
      <c r="Q97" s="3">
        <v>6.6991935483870959</v>
      </c>
      <c r="R97" s="2">
        <v>8192548</v>
      </c>
      <c r="S97" s="2">
        <v>6329715</v>
      </c>
      <c r="T97" s="2">
        <f t="shared" si="17"/>
        <v>6488622.0410118718</v>
      </c>
      <c r="U97" s="11">
        <f>IF(_xlfn.NUMBERVALUE(L97)&gt;0,L97,U96)</f>
        <v>1841591.567730204</v>
      </c>
      <c r="V97" s="3">
        <v>7.7</v>
      </c>
    </row>
    <row r="98" spans="1:22" x14ac:dyDescent="0.25">
      <c r="A98" s="13">
        <v>43131</v>
      </c>
      <c r="B98" s="8">
        <f t="shared" si="9"/>
        <v>0.39591218773656323</v>
      </c>
      <c r="C98" s="8">
        <f t="shared" si="10"/>
        <v>0.56744176806473945</v>
      </c>
      <c r="D98" s="8">
        <f t="shared" si="11"/>
        <v>0.27494394618834073</v>
      </c>
      <c r="E98" s="8">
        <f t="shared" si="12"/>
        <v>1.3036514522821574</v>
      </c>
      <c r="F98" s="8">
        <f>PRODUCT($K$2:K98)-1</f>
        <v>0.94847302993469085</v>
      </c>
      <c r="G98" s="8">
        <f t="shared" si="13"/>
        <v>3.2520644087324282</v>
      </c>
      <c r="H98" s="8">
        <f t="shared" si="14"/>
        <v>2.2965565126243321</v>
      </c>
      <c r="I98" s="8">
        <f t="shared" si="15"/>
        <v>1.3700362759374065</v>
      </c>
      <c r="J98" s="8"/>
      <c r="K98" s="20">
        <f t="shared" si="16"/>
        <v>1.0055624999999999</v>
      </c>
      <c r="L98" s="2" t="s">
        <v>61</v>
      </c>
      <c r="M98" s="2">
        <v>36880000</v>
      </c>
      <c r="N98" s="2">
        <v>36718803.751989327</v>
      </c>
      <c r="O98" s="2">
        <v>22745</v>
      </c>
      <c r="P98" s="2">
        <v>1110.3599999999999</v>
      </c>
      <c r="Q98" s="3">
        <v>6.6749999999999998</v>
      </c>
      <c r="R98" s="2">
        <v>8296475</v>
      </c>
      <c r="S98" s="2">
        <v>6390566</v>
      </c>
      <c r="T98" s="2">
        <f t="shared" si="17"/>
        <v>6488622.0410118718</v>
      </c>
      <c r="U98" s="11">
        <f>IF(_xlfn.NUMBERVALUE(L98)&gt;0,L98,U97)</f>
        <v>1841591.567730204</v>
      </c>
    </row>
    <row r="99" spans="1:22" x14ac:dyDescent="0.25">
      <c r="A99" s="13">
        <v>43159</v>
      </c>
      <c r="B99" s="8">
        <f t="shared" si="9"/>
        <v>0.38909916729750194</v>
      </c>
      <c r="C99" s="8">
        <f t="shared" si="10"/>
        <v>0.54264069006736593</v>
      </c>
      <c r="D99" s="8">
        <f t="shared" si="11"/>
        <v>0.27718609865470856</v>
      </c>
      <c r="E99" s="8">
        <f t="shared" si="12"/>
        <v>1.3337551867219917</v>
      </c>
      <c r="F99" s="8">
        <f>PRODUCT($K$2:K99)-1</f>
        <v>0.95931141116370244</v>
      </c>
      <c r="G99" s="8">
        <f t="shared" si="13"/>
        <v>3.3059086781018916</v>
      </c>
      <c r="H99" s="8">
        <f t="shared" si="14"/>
        <v>2.3098813654272918</v>
      </c>
      <c r="I99" s="8">
        <f t="shared" si="15"/>
        <v>1.3700362759374065</v>
      </c>
      <c r="J99" s="8"/>
      <c r="K99" s="20">
        <f t="shared" si="16"/>
        <v>1.0055624999999999</v>
      </c>
      <c r="L99" s="2" t="s">
        <v>61</v>
      </c>
      <c r="M99" s="2">
        <v>36700000</v>
      </c>
      <c r="N99" s="2">
        <v>36137815.07708136</v>
      </c>
      <c r="O99" s="2">
        <v>22785</v>
      </c>
      <c r="P99" s="2">
        <v>1124.8699999999999</v>
      </c>
      <c r="Q99" s="3">
        <v>6.6749999999999998</v>
      </c>
      <c r="R99" s="2">
        <v>8401534</v>
      </c>
      <c r="S99" s="2">
        <v>6416397</v>
      </c>
      <c r="T99" s="2">
        <f t="shared" si="17"/>
        <v>6488622.0410118718</v>
      </c>
      <c r="U99" s="11">
        <f>IF(_xlfn.NUMBERVALUE(L99)&gt;0,L99,U98)</f>
        <v>1841591.567730204</v>
      </c>
    </row>
    <row r="100" spans="1:22" x14ac:dyDescent="0.25">
      <c r="A100" s="13">
        <v>43190</v>
      </c>
      <c r="B100" s="8">
        <f t="shared" si="9"/>
        <v>0.39288417865253589</v>
      </c>
      <c r="C100" s="8">
        <f t="shared" si="10"/>
        <v>0.5535839987187825</v>
      </c>
      <c r="D100" s="8">
        <f t="shared" si="11"/>
        <v>0.27914798206278024</v>
      </c>
      <c r="E100" s="8">
        <f t="shared" si="12"/>
        <v>1.4366390041493777</v>
      </c>
      <c r="F100" s="8">
        <f>PRODUCT($K$2:K100)-1</f>
        <v>0.97013634336207377</v>
      </c>
      <c r="G100" s="8">
        <f t="shared" si="13"/>
        <v>3.3671869714693381</v>
      </c>
      <c r="H100" s="8">
        <f t="shared" si="14"/>
        <v>2.3815227607324618</v>
      </c>
      <c r="I100" s="8">
        <f t="shared" si="15"/>
        <v>1.4271635336891686</v>
      </c>
      <c r="J100" s="8"/>
      <c r="K100" s="20">
        <f t="shared" si="16"/>
        <v>1.0055248655913978</v>
      </c>
      <c r="L100" s="2">
        <v>1662178.3624236505</v>
      </c>
      <c r="M100" s="2">
        <v>36800000</v>
      </c>
      <c r="N100" s="2">
        <v>36394172.417402163</v>
      </c>
      <c r="O100" s="2">
        <v>22820</v>
      </c>
      <c r="P100" s="2">
        <v>1174.46</v>
      </c>
      <c r="Q100" s="3">
        <v>6.6298387096774203</v>
      </c>
      <c r="R100" s="2">
        <v>8521098</v>
      </c>
      <c r="S100" s="2">
        <v>6555278</v>
      </c>
      <c r="T100" s="2">
        <f t="shared" si="17"/>
        <v>6645023.5221006107</v>
      </c>
      <c r="U100" s="11">
        <f>IF(_xlfn.NUMBERVALUE(L100)&gt;0,L100,U99)</f>
        <v>1662178.3624236505</v>
      </c>
      <c r="V100" s="3">
        <v>15.4</v>
      </c>
    </row>
    <row r="101" spans="1:22" x14ac:dyDescent="0.25">
      <c r="A101" s="13">
        <v>43220</v>
      </c>
      <c r="B101" s="8">
        <f t="shared" si="9"/>
        <v>0.3955336866010597</v>
      </c>
      <c r="C101" s="8">
        <f t="shared" si="10"/>
        <v>0.54447760193133021</v>
      </c>
      <c r="D101" s="8">
        <f t="shared" si="11"/>
        <v>0.27802690582959633</v>
      </c>
      <c r="E101" s="8">
        <f t="shared" si="12"/>
        <v>1.1789626556016599</v>
      </c>
      <c r="F101" s="8">
        <f>PRODUCT($K$2:K101)-1</f>
        <v>0.98105418226487218</v>
      </c>
      <c r="G101" s="8">
        <f t="shared" si="13"/>
        <v>3.4390194776041376</v>
      </c>
      <c r="H101" s="8">
        <f t="shared" si="14"/>
        <v>2.432529746337226</v>
      </c>
      <c r="I101" s="8">
        <f t="shared" si="15"/>
        <v>1.4271635336891686</v>
      </c>
      <c r="J101" s="8"/>
      <c r="K101" s="20">
        <f t="shared" si="16"/>
        <v>1.0055416666666668</v>
      </c>
      <c r="L101" s="2" t="s">
        <v>61</v>
      </c>
      <c r="M101" s="2">
        <v>36870000</v>
      </c>
      <c r="N101" s="2">
        <v>36180846.472324759</v>
      </c>
      <c r="O101" s="2">
        <v>22800</v>
      </c>
      <c r="P101" s="2">
        <v>1050.26</v>
      </c>
      <c r="Q101" s="3">
        <v>6.65</v>
      </c>
      <c r="R101" s="2">
        <v>8661255</v>
      </c>
      <c r="S101" s="2">
        <v>6654158</v>
      </c>
      <c r="T101" s="2">
        <f t="shared" si="17"/>
        <v>6645023.5221006107</v>
      </c>
      <c r="U101" s="11">
        <f>IF(_xlfn.NUMBERVALUE(L101)&gt;0,L101,U100)</f>
        <v>1662178.3624236505</v>
      </c>
    </row>
    <row r="102" spans="1:22" x14ac:dyDescent="0.25">
      <c r="A102" s="13">
        <v>43251</v>
      </c>
      <c r="B102" s="8">
        <f t="shared" si="9"/>
        <v>0.38985616956850877</v>
      </c>
      <c r="C102" s="8">
        <f t="shared" si="10"/>
        <v>0.52993455267697098</v>
      </c>
      <c r="D102" s="8">
        <f t="shared" si="11"/>
        <v>0.281670403587444</v>
      </c>
      <c r="E102" s="8">
        <f t="shared" si="12"/>
        <v>1.0150414937759336</v>
      </c>
      <c r="F102" s="8">
        <f>PRODUCT($K$2:K102)-1</f>
        <v>0.99210175457967975</v>
      </c>
      <c r="G102" s="8">
        <f t="shared" si="13"/>
        <v>3.4883915447394482</v>
      </c>
      <c r="H102" s="8">
        <f t="shared" si="14"/>
        <v>2.4681696394949237</v>
      </c>
      <c r="I102" s="8">
        <f t="shared" si="15"/>
        <v>1.4271635336891686</v>
      </c>
      <c r="J102" s="8"/>
      <c r="K102" s="20">
        <f t="shared" si="16"/>
        <v>1.0055766129032258</v>
      </c>
      <c r="L102" s="2" t="s">
        <v>61</v>
      </c>
      <c r="M102" s="2">
        <v>36720000</v>
      </c>
      <c r="N102" s="2">
        <v>35840161.808686092</v>
      </c>
      <c r="O102" s="2">
        <v>22865</v>
      </c>
      <c r="P102" s="3">
        <v>971.25</v>
      </c>
      <c r="Q102" s="3">
        <v>6.6919354838709681</v>
      </c>
      <c r="R102" s="2">
        <v>8757588</v>
      </c>
      <c r="S102" s="2">
        <v>6723248</v>
      </c>
      <c r="T102" s="2">
        <f t="shared" si="17"/>
        <v>6645023.5221006107</v>
      </c>
      <c r="U102" s="11">
        <f>IF(_xlfn.NUMBERVALUE(L102)&gt;0,L102,U101)</f>
        <v>1662178.3624236505</v>
      </c>
    </row>
    <row r="103" spans="1:22" x14ac:dyDescent="0.25">
      <c r="A103" s="13">
        <v>43281</v>
      </c>
      <c r="B103" s="8">
        <f t="shared" si="9"/>
        <v>0.39364118092354272</v>
      </c>
      <c r="C103" s="8">
        <f t="shared" si="10"/>
        <v>0.48055767499320989</v>
      </c>
      <c r="D103" s="8">
        <f t="shared" si="11"/>
        <v>0.28867713004484297</v>
      </c>
      <c r="E103" s="8">
        <f t="shared" si="12"/>
        <v>0.99331950207468878</v>
      </c>
      <c r="F103" s="8">
        <f>PRODUCT($K$2:K103)-1</f>
        <v>1.003224322709416</v>
      </c>
      <c r="G103" s="8">
        <f t="shared" si="13"/>
        <v>3.5509152485388213</v>
      </c>
      <c r="H103" s="8">
        <f t="shared" si="14"/>
        <v>2.5217622222291003</v>
      </c>
      <c r="I103" s="8">
        <f t="shared" si="15"/>
        <v>1.4817869672340089</v>
      </c>
      <c r="J103" s="8"/>
      <c r="K103" s="20">
        <f t="shared" si="16"/>
        <v>1.0055833333333333</v>
      </c>
      <c r="L103" s="2">
        <v>1639199.1460050046</v>
      </c>
      <c r="M103" s="2">
        <v>36820000</v>
      </c>
      <c r="N103" s="2">
        <v>34683461.816064022</v>
      </c>
      <c r="O103" s="2">
        <v>22990</v>
      </c>
      <c r="P103" s="3">
        <v>960.78</v>
      </c>
      <c r="Q103" s="3">
        <v>6.7</v>
      </c>
      <c r="R103" s="2">
        <v>8879582</v>
      </c>
      <c r="S103" s="2">
        <v>6827140.3300000001</v>
      </c>
      <c r="T103" s="2">
        <f t="shared" si="17"/>
        <v>6794570.100122761</v>
      </c>
      <c r="U103" s="11">
        <f>IF(_xlfn.NUMBERVALUE(L103)&gt;0,L103,U102)</f>
        <v>1639199.1460050046</v>
      </c>
      <c r="V103" s="3">
        <v>6.7</v>
      </c>
    </row>
    <row r="104" spans="1:22" x14ac:dyDescent="0.25">
      <c r="A104" s="13">
        <v>43312</v>
      </c>
      <c r="B104" s="8">
        <f t="shared" si="9"/>
        <v>0.39439818319454956</v>
      </c>
      <c r="C104" s="8">
        <f t="shared" si="10"/>
        <v>0.46805427957928991</v>
      </c>
      <c r="D104" s="8">
        <f t="shared" si="11"/>
        <v>0.30661434977578472</v>
      </c>
      <c r="E104" s="8">
        <f t="shared" si="12"/>
        <v>0.98421161825726133</v>
      </c>
      <c r="F104" s="8">
        <f>PRODUCT($K$2:K104)-1</f>
        <v>1.0142837903243742</v>
      </c>
      <c r="G104" s="8">
        <f t="shared" si="13"/>
        <v>3.5319368336029164</v>
      </c>
      <c r="H104" s="8">
        <f t="shared" si="14"/>
        <v>2.529562695570625</v>
      </c>
      <c r="I104" s="8">
        <f t="shared" si="15"/>
        <v>1.4817869672340089</v>
      </c>
      <c r="J104" s="8"/>
      <c r="K104" s="20">
        <f t="shared" si="16"/>
        <v>1.0055208333333334</v>
      </c>
      <c r="L104" s="2" t="s">
        <v>61</v>
      </c>
      <c r="M104" s="2">
        <v>36840000</v>
      </c>
      <c r="N104" s="2">
        <v>34390557.969942778</v>
      </c>
      <c r="O104" s="2">
        <v>23310</v>
      </c>
      <c r="P104" s="3">
        <v>956.39</v>
      </c>
      <c r="Q104" s="3">
        <v>6.625</v>
      </c>
      <c r="R104" s="2">
        <v>8842552</v>
      </c>
      <c r="S104" s="2">
        <v>6842262</v>
      </c>
      <c r="T104" s="2">
        <f t="shared" si="17"/>
        <v>6794570.100122761</v>
      </c>
      <c r="U104" s="11">
        <f>IF(_xlfn.NUMBERVALUE(L104)&gt;0,L104,U103)</f>
        <v>1639199.1460050046</v>
      </c>
    </row>
    <row r="105" spans="1:22" x14ac:dyDescent="0.25">
      <c r="A105" s="13">
        <v>43343</v>
      </c>
      <c r="B105" s="8">
        <f t="shared" si="9"/>
        <v>0.39023467070401208</v>
      </c>
      <c r="C105" s="8">
        <f t="shared" si="10"/>
        <v>0.44183502988370327</v>
      </c>
      <c r="D105" s="8">
        <f t="shared" si="11"/>
        <v>0.30829596412556048</v>
      </c>
      <c r="E105" s="8">
        <f t="shared" si="12"/>
        <v>1.0529875518672198</v>
      </c>
      <c r="F105" s="8">
        <f>PRODUCT($K$2:K105)-1</f>
        <v>1.02547741442531</v>
      </c>
      <c r="G105" s="8">
        <f t="shared" si="13"/>
        <v>3.5554264018811335</v>
      </c>
      <c r="H105" s="8">
        <f t="shared" si="14"/>
        <v>2.5594364470910853</v>
      </c>
      <c r="I105" s="8">
        <f t="shared" si="15"/>
        <v>1.4817869672340089</v>
      </c>
      <c r="J105" s="8"/>
      <c r="K105" s="20">
        <f t="shared" si="16"/>
        <v>1.005557123655914</v>
      </c>
      <c r="L105" s="2" t="s">
        <v>61</v>
      </c>
      <c r="M105" s="2">
        <v>36730000</v>
      </c>
      <c r="N105" s="2">
        <v>33776347.283643849</v>
      </c>
      <c r="O105" s="2">
        <v>23340</v>
      </c>
      <c r="P105" s="3">
        <v>989.54</v>
      </c>
      <c r="Q105" s="3">
        <v>6.6685483870967737</v>
      </c>
      <c r="R105" s="2">
        <v>8888384</v>
      </c>
      <c r="S105" s="2">
        <v>6900174</v>
      </c>
      <c r="T105" s="2">
        <f t="shared" si="17"/>
        <v>6794570.100122761</v>
      </c>
      <c r="U105" s="11">
        <f>IF(_xlfn.NUMBERVALUE(L105)&gt;0,L105,U104)</f>
        <v>1639199.1460050046</v>
      </c>
    </row>
    <row r="106" spans="1:22" x14ac:dyDescent="0.25">
      <c r="A106" s="13">
        <v>43373</v>
      </c>
      <c r="B106" s="8">
        <f t="shared" si="9"/>
        <v>0.38152914458743381</v>
      </c>
      <c r="C106" s="8">
        <f t="shared" si="10"/>
        <v>0.43310382863127384</v>
      </c>
      <c r="D106" s="8">
        <f t="shared" si="11"/>
        <v>0.30997757847533625</v>
      </c>
      <c r="E106" s="8">
        <f t="shared" si="12"/>
        <v>1.1102282157676346</v>
      </c>
      <c r="F106" s="8">
        <f>PRODUCT($K$2:K106)-1</f>
        <v>1.0368271208537809</v>
      </c>
      <c r="G106" s="8">
        <f t="shared" si="13"/>
        <v>3.578515696271559</v>
      </c>
      <c r="H106" s="8">
        <f t="shared" si="14"/>
        <v>2.6035310782550742</v>
      </c>
      <c r="I106" s="8">
        <f t="shared" si="15"/>
        <v>1.5492618016158932</v>
      </c>
      <c r="J106" s="8"/>
      <c r="K106" s="20">
        <f t="shared" si="16"/>
        <v>1.0056034722222222</v>
      </c>
      <c r="L106" s="2">
        <v>1836331.8240908957</v>
      </c>
      <c r="M106" s="2">
        <v>36500000</v>
      </c>
      <c r="N106" s="2">
        <v>33571810.648319326</v>
      </c>
      <c r="O106" s="2">
        <v>23370</v>
      </c>
      <c r="P106" s="2">
        <v>1017.13</v>
      </c>
      <c r="Q106" s="3">
        <v>6.7241666666666671</v>
      </c>
      <c r="R106" s="2">
        <v>8933435</v>
      </c>
      <c r="S106" s="2">
        <v>6985654</v>
      </c>
      <c r="T106" s="2">
        <f t="shared" si="17"/>
        <v>6979300.900249755</v>
      </c>
      <c r="U106" s="11">
        <f>IF(_xlfn.NUMBERVALUE(L106)&gt;0,L106,U105)</f>
        <v>1836331.8240908957</v>
      </c>
      <c r="V106" s="3">
        <v>6.8</v>
      </c>
    </row>
    <row r="107" spans="1:22" x14ac:dyDescent="0.25">
      <c r="A107" s="13">
        <v>43404</v>
      </c>
      <c r="B107" s="8">
        <f t="shared" si="9"/>
        <v>0.38152914458743381</v>
      </c>
      <c r="C107" s="8">
        <f t="shared" si="10"/>
        <v>0.4593694198167575</v>
      </c>
      <c r="D107" s="8">
        <f t="shared" si="11"/>
        <v>0.31109865470852016</v>
      </c>
      <c r="E107" s="8">
        <f t="shared" si="12"/>
        <v>0.89784232365145233</v>
      </c>
      <c r="F107" s="8">
        <f>PRODUCT($K$2:K107)-1</f>
        <v>1.0482842734085835</v>
      </c>
      <c r="G107" s="8">
        <f t="shared" si="13"/>
        <v>3.6121356277586099</v>
      </c>
      <c r="H107" s="8">
        <f t="shared" si="14"/>
        <v>2.6308415843116379</v>
      </c>
      <c r="I107" s="8">
        <f t="shared" si="15"/>
        <v>1.5492618016158932</v>
      </c>
      <c r="J107" s="8"/>
      <c r="K107" s="20">
        <f t="shared" si="16"/>
        <v>1.005625</v>
      </c>
      <c r="L107" s="2" t="s">
        <v>61</v>
      </c>
      <c r="M107" s="2">
        <v>36500000</v>
      </c>
      <c r="N107" s="2">
        <v>34187106.92778527</v>
      </c>
      <c r="O107" s="2">
        <v>23390</v>
      </c>
      <c r="P107" s="3">
        <v>914.76</v>
      </c>
      <c r="Q107" s="3">
        <v>6.75</v>
      </c>
      <c r="R107" s="2">
        <v>8999033</v>
      </c>
      <c r="S107" s="2">
        <v>7038597</v>
      </c>
      <c r="T107" s="2">
        <f t="shared" si="17"/>
        <v>6979300.900249755</v>
      </c>
      <c r="U107" s="11">
        <f>IF(_xlfn.NUMBERVALUE(L107)&gt;0,L107,U106)</f>
        <v>1836331.8240908957</v>
      </c>
    </row>
    <row r="108" spans="1:22" x14ac:dyDescent="0.25">
      <c r="A108" s="13">
        <v>43434</v>
      </c>
      <c r="B108" s="8">
        <f t="shared" si="9"/>
        <v>0.38077214231642698</v>
      </c>
      <c r="C108" s="8">
        <f t="shared" si="10"/>
        <v>0.4673093528701755</v>
      </c>
      <c r="D108" s="8">
        <f t="shared" si="11"/>
        <v>0.30969730941704032</v>
      </c>
      <c r="E108" s="8">
        <f t="shared" si="12"/>
        <v>0.92228215767634847</v>
      </c>
      <c r="F108" s="8">
        <f>PRODUCT($K$2:K108)-1</f>
        <v>1.0598442777766333</v>
      </c>
      <c r="G108" s="8">
        <f t="shared" si="13"/>
        <v>3.6442477413482415</v>
      </c>
      <c r="H108" s="8">
        <f t="shared" si="14"/>
        <v>2.6681961540485246</v>
      </c>
      <c r="I108" s="8">
        <f t="shared" si="15"/>
        <v>1.5492618016158932</v>
      </c>
      <c r="J108" s="8"/>
      <c r="K108" s="20">
        <f t="shared" si="16"/>
        <v>1.0056437499999999</v>
      </c>
      <c r="L108" s="2" t="s">
        <v>61</v>
      </c>
      <c r="M108" s="2">
        <v>36480000</v>
      </c>
      <c r="N108" s="2">
        <v>34373107.358252518</v>
      </c>
      <c r="O108" s="2">
        <v>23365</v>
      </c>
      <c r="P108" s="3">
        <v>926.54</v>
      </c>
      <c r="Q108" s="3">
        <v>6.7724999999999991</v>
      </c>
      <c r="R108" s="2">
        <v>9061689</v>
      </c>
      <c r="S108" s="2">
        <v>7111011</v>
      </c>
      <c r="T108" s="2">
        <f t="shared" si="17"/>
        <v>6979300.900249755</v>
      </c>
      <c r="U108" s="11">
        <f>IF(_xlfn.NUMBERVALUE(L108)&gt;0,L108,U107)</f>
        <v>1836331.8240908957</v>
      </c>
    </row>
    <row r="109" spans="1:22" x14ac:dyDescent="0.25">
      <c r="A109" s="13">
        <v>43465</v>
      </c>
      <c r="B109" s="8">
        <f t="shared" si="9"/>
        <v>0.38417865253595762</v>
      </c>
      <c r="C109" s="8">
        <f t="shared" si="10"/>
        <v>0.5292808604776702</v>
      </c>
      <c r="D109" s="8">
        <f t="shared" si="11"/>
        <v>0.30297085201793728</v>
      </c>
      <c r="E109" s="8">
        <f t="shared" si="12"/>
        <v>0.85174273858921157</v>
      </c>
      <c r="F109" s="8">
        <f>PRODUCT($K$2:K109)-1</f>
        <v>1.0715568734985874</v>
      </c>
      <c r="G109" s="8">
        <f t="shared" si="13"/>
        <v>3.6749442896650413</v>
      </c>
      <c r="H109" s="8">
        <f t="shared" si="14"/>
        <v>2.8047193377758108</v>
      </c>
      <c r="I109" s="8">
        <f t="shared" si="15"/>
        <v>1.6232200506668164</v>
      </c>
      <c r="J109" s="8"/>
      <c r="K109" s="20">
        <f t="shared" si="16"/>
        <v>1.0056861559139785</v>
      </c>
      <c r="L109" s="2">
        <v>2044072.4874438322</v>
      </c>
      <c r="M109" s="2">
        <v>36570000</v>
      </c>
      <c r="N109" s="2">
        <v>35824848.4515526</v>
      </c>
      <c r="O109" s="2">
        <v>23245</v>
      </c>
      <c r="P109" s="3">
        <v>892.54</v>
      </c>
      <c r="Q109" s="3">
        <v>6.8233870967741934</v>
      </c>
      <c r="R109" s="2">
        <v>9121583</v>
      </c>
      <c r="S109" s="2">
        <v>7375669.1100000003</v>
      </c>
      <c r="T109" s="2">
        <f t="shared" si="17"/>
        <v>7181781.8199633826</v>
      </c>
      <c r="U109" s="11">
        <f>IF(_xlfn.NUMBERVALUE(L109)&gt;0,L109,U108)</f>
        <v>2044072.4874438322</v>
      </c>
      <c r="V109" s="3">
        <v>7.3</v>
      </c>
    </row>
    <row r="110" spans="1:22" x14ac:dyDescent="0.25">
      <c r="A110" s="13">
        <v>43496</v>
      </c>
      <c r="B110" s="8">
        <f t="shared" si="9"/>
        <v>0.40423921271763819</v>
      </c>
      <c r="C110" s="8">
        <f t="shared" si="10"/>
        <v>0.57914880146266312</v>
      </c>
      <c r="D110" s="8">
        <f t="shared" si="11"/>
        <v>0.3032511210762332</v>
      </c>
      <c r="E110" s="8">
        <f t="shared" si="12"/>
        <v>0.88931535269709538</v>
      </c>
      <c r="F110" s="8">
        <f>PRODUCT($K$2:K110)-1</f>
        <v>1.0833388532166106</v>
      </c>
      <c r="G110" s="8">
        <f t="shared" si="13"/>
        <v>3.8627824211598822</v>
      </c>
      <c r="H110" s="8">
        <f t="shared" si="14"/>
        <v>2.790720215747994</v>
      </c>
      <c r="I110" s="8">
        <f t="shared" si="15"/>
        <v>1.6232200506668164</v>
      </c>
      <c r="J110" s="8"/>
      <c r="K110" s="20">
        <f t="shared" si="16"/>
        <v>1.0056875000000001</v>
      </c>
      <c r="L110" s="2" t="s">
        <v>61</v>
      </c>
      <c r="M110" s="2">
        <v>37100000</v>
      </c>
      <c r="N110" s="2">
        <v>36993052.065779693</v>
      </c>
      <c r="O110" s="2">
        <v>23250</v>
      </c>
      <c r="P110" s="3">
        <v>910.65</v>
      </c>
      <c r="Q110" s="3">
        <v>6.8250000000000002</v>
      </c>
      <c r="R110" s="2">
        <v>9488086</v>
      </c>
      <c r="S110" s="2">
        <v>7348531</v>
      </c>
      <c r="T110" s="2">
        <f t="shared" si="17"/>
        <v>7181781.8199633826</v>
      </c>
      <c r="U110" s="11">
        <f>IF(_xlfn.NUMBERVALUE(L110)&gt;0,L110,U109)</f>
        <v>2044072.4874438322</v>
      </c>
    </row>
    <row r="111" spans="1:22" x14ac:dyDescent="0.25">
      <c r="A111" s="13">
        <v>43524</v>
      </c>
      <c r="B111" s="8">
        <f t="shared" si="9"/>
        <v>0.40045420136260401</v>
      </c>
      <c r="C111" s="8">
        <f t="shared" si="10"/>
        <v>0.5708924000687956</v>
      </c>
      <c r="D111" s="8">
        <f t="shared" si="11"/>
        <v>0.3032511210762332</v>
      </c>
      <c r="E111" s="8">
        <f t="shared" si="12"/>
        <v>1.0030497925311206</v>
      </c>
      <c r="F111" s="8">
        <f>PRODUCT($K$2:K111)-1</f>
        <v>1.0951878429442803</v>
      </c>
      <c r="G111" s="8">
        <f t="shared" si="13"/>
        <v>3.8056601085300876</v>
      </c>
      <c r="H111" s="8">
        <f t="shared" si="14"/>
        <v>2.7595057769744313</v>
      </c>
      <c r="I111" s="8">
        <f t="shared" si="15"/>
        <v>1.6232200506668164</v>
      </c>
      <c r="J111" s="8"/>
      <c r="K111" s="20">
        <f t="shared" si="16"/>
        <v>1.0056875000000001</v>
      </c>
      <c r="L111" s="2" t="s">
        <v>61</v>
      </c>
      <c r="M111" s="2">
        <v>37000000</v>
      </c>
      <c r="N111" s="2">
        <v>36799638.06555602</v>
      </c>
      <c r="O111" s="2">
        <v>23250</v>
      </c>
      <c r="P111" s="3">
        <v>965.47</v>
      </c>
      <c r="Q111" s="3">
        <v>6.8250000000000002</v>
      </c>
      <c r="R111" s="2">
        <v>9376631</v>
      </c>
      <c r="S111" s="2">
        <v>7288020</v>
      </c>
      <c r="T111" s="2">
        <f t="shared" si="17"/>
        <v>7181781.8199633826</v>
      </c>
      <c r="U111" s="11">
        <f>IF(_xlfn.NUMBERVALUE(L111)&gt;0,L111,U110)</f>
        <v>2044072.4874438322</v>
      </c>
    </row>
    <row r="112" spans="1:22" x14ac:dyDescent="0.25">
      <c r="A112" s="13">
        <v>43555</v>
      </c>
      <c r="B112" s="8">
        <f t="shared" si="9"/>
        <v>0.38342165026495079</v>
      </c>
      <c r="C112" s="8">
        <f t="shared" si="10"/>
        <v>0.75216209610417373</v>
      </c>
      <c r="D112" s="8">
        <f t="shared" si="11"/>
        <v>0.47589686098654704</v>
      </c>
      <c r="E112" s="8">
        <f t="shared" si="12"/>
        <v>1.0347717842323649</v>
      </c>
      <c r="F112" s="8">
        <f>PRODUCT($K$2:K112)-1</f>
        <v>1.1071042238010262</v>
      </c>
      <c r="G112" s="8">
        <f t="shared" si="13"/>
        <v>3.8576936638847377</v>
      </c>
      <c r="H112" s="8">
        <f t="shared" si="14"/>
        <v>2.8364010775019368</v>
      </c>
      <c r="I112" s="8">
        <f t="shared" si="15"/>
        <v>1.6759877932616818</v>
      </c>
      <c r="J112" s="8"/>
      <c r="K112" s="20">
        <f t="shared" si="16"/>
        <v>1.0056875000000001</v>
      </c>
      <c r="L112" s="2">
        <v>1806644.479306211</v>
      </c>
      <c r="M112" s="2">
        <v>36550000</v>
      </c>
      <c r="N112" s="2">
        <v>41046051.891266257</v>
      </c>
      <c r="O112" s="2">
        <v>26330</v>
      </c>
      <c r="P112" s="3">
        <v>980.76</v>
      </c>
      <c r="Q112" s="3">
        <v>6.8250000000000002</v>
      </c>
      <c r="R112" s="2">
        <v>9478157</v>
      </c>
      <c r="S112" s="2">
        <v>7437086</v>
      </c>
      <c r="T112" s="2">
        <f t="shared" si="17"/>
        <v>7326247.9368459433</v>
      </c>
      <c r="U112" s="11">
        <f>IF(_xlfn.NUMBERVALUE(L112)&gt;0,L112,U111)</f>
        <v>1806644.479306211</v>
      </c>
      <c r="V112" s="3">
        <v>6.8</v>
      </c>
    </row>
    <row r="113" spans="1:22" x14ac:dyDescent="0.25">
      <c r="A113" s="13">
        <v>43585</v>
      </c>
      <c r="B113" s="8">
        <f t="shared" si="9"/>
        <v>0.38152914458743381</v>
      </c>
      <c r="C113" s="8">
        <f t="shared" si="10"/>
        <v>0.54027619612516475</v>
      </c>
      <c r="D113" s="8">
        <f t="shared" si="11"/>
        <v>0.30773542600896864</v>
      </c>
      <c r="E113" s="8">
        <f t="shared" si="12"/>
        <v>1.032448132780083</v>
      </c>
      <c r="F113" s="8">
        <f>PRODUCT($K$2:K113)-1</f>
        <v>1.1190883790738946</v>
      </c>
      <c r="G113" s="8">
        <f t="shared" si="13"/>
        <v>3.8927757994714947</v>
      </c>
      <c r="H113" s="8">
        <f t="shared" si="14"/>
        <v>2.8858656795411846</v>
      </c>
      <c r="I113" s="8">
        <f t="shared" si="15"/>
        <v>1.6759877932616818</v>
      </c>
      <c r="J113" s="8"/>
      <c r="K113" s="20">
        <f t="shared" si="16"/>
        <v>1.0056875000000001</v>
      </c>
      <c r="L113" s="2" t="s">
        <v>61</v>
      </c>
      <c r="M113" s="2">
        <v>36500000</v>
      </c>
      <c r="N113" s="2">
        <v>36082424.57339225</v>
      </c>
      <c r="O113" s="2">
        <v>23330</v>
      </c>
      <c r="P113" s="3">
        <v>979.64</v>
      </c>
      <c r="Q113" s="3">
        <v>6.8250000000000002</v>
      </c>
      <c r="R113" s="2">
        <v>9546608</v>
      </c>
      <c r="S113" s="2">
        <v>7532976</v>
      </c>
      <c r="T113" s="2">
        <f t="shared" si="17"/>
        <v>7326247.9368459433</v>
      </c>
      <c r="U113" s="11">
        <f>IF(_xlfn.NUMBERVALUE(L113)&gt;0,L113,U112)</f>
        <v>1806644.479306211</v>
      </c>
    </row>
    <row r="114" spans="1:22" x14ac:dyDescent="0.25">
      <c r="A114" s="13">
        <v>43616</v>
      </c>
      <c r="B114" s="8">
        <f t="shared" si="9"/>
        <v>0.38152914458743381</v>
      </c>
      <c r="C114" s="8">
        <f t="shared" si="10"/>
        <v>0.57797337185934472</v>
      </c>
      <c r="D114" s="8">
        <f t="shared" si="11"/>
        <v>0.31614349775784745</v>
      </c>
      <c r="E114" s="8">
        <f t="shared" si="12"/>
        <v>0.99145228215767633</v>
      </c>
      <c r="F114" s="8">
        <f>PRODUCT($K$2:K114)-1</f>
        <v>1.1311406942298774</v>
      </c>
      <c r="G114" s="8">
        <f t="shared" si="13"/>
        <v>3.9749216365205591</v>
      </c>
      <c r="H114" s="8">
        <f t="shared" si="14"/>
        <v>2.9348914192920716</v>
      </c>
      <c r="I114" s="8">
        <f t="shared" si="15"/>
        <v>1.6759877932616818</v>
      </c>
      <c r="J114" s="8"/>
      <c r="K114" s="20">
        <f t="shared" si="16"/>
        <v>1.0056875000000001</v>
      </c>
      <c r="L114" s="2" t="s">
        <v>61</v>
      </c>
      <c r="M114" s="2">
        <v>36500000</v>
      </c>
      <c r="N114" s="2">
        <v>36965516.517213948</v>
      </c>
      <c r="O114" s="2">
        <v>23480</v>
      </c>
      <c r="P114" s="3">
        <v>959.88</v>
      </c>
      <c r="Q114" s="3">
        <v>6.8250000000000002</v>
      </c>
      <c r="R114" s="2">
        <v>9706888</v>
      </c>
      <c r="S114" s="2">
        <v>7628015.2400000002</v>
      </c>
      <c r="T114" s="2">
        <f t="shared" si="17"/>
        <v>7326247.9368459433</v>
      </c>
      <c r="U114" s="11">
        <f>IF(_xlfn.NUMBERVALUE(L114)&gt;0,L114,U113)</f>
        <v>1806644.479306211</v>
      </c>
    </row>
    <row r="115" spans="1:22" x14ac:dyDescent="0.25">
      <c r="A115" s="13">
        <v>43646</v>
      </c>
      <c r="B115" s="8">
        <f t="shared" si="9"/>
        <v>0.47236941710825131</v>
      </c>
      <c r="C115" s="8">
        <f t="shared" si="10"/>
        <v>0.69409775438983923</v>
      </c>
      <c r="D115" s="8">
        <f t="shared" si="11"/>
        <v>0.30885650224215255</v>
      </c>
      <c r="E115" s="8">
        <f t="shared" si="12"/>
        <v>0.97082987551867239</v>
      </c>
      <c r="F115" s="8">
        <f>PRODUCT($K$2:K115)-1</f>
        <v>1.14326155692831</v>
      </c>
      <c r="G115" s="8">
        <f t="shared" si="13"/>
        <v>4.0567169135961922</v>
      </c>
      <c r="H115" s="8">
        <f t="shared" si="14"/>
        <v>2.9937329705894795</v>
      </c>
      <c r="I115" s="8">
        <f t="shared" si="15"/>
        <v>1.7360787724270552</v>
      </c>
      <c r="J115" s="8"/>
      <c r="K115" s="20">
        <f t="shared" si="16"/>
        <v>1.0056875000000001</v>
      </c>
      <c r="L115" s="2">
        <v>1803714.6244544683</v>
      </c>
      <c r="M115" s="2">
        <v>38900000</v>
      </c>
      <c r="N115" s="2">
        <v>39685839.849048279</v>
      </c>
      <c r="O115" s="2">
        <v>23350</v>
      </c>
      <c r="P115" s="3">
        <v>949.94</v>
      </c>
      <c r="Q115" s="3">
        <v>6.8250000000000002</v>
      </c>
      <c r="R115" s="2">
        <v>9866484</v>
      </c>
      <c r="S115" s="2">
        <v>7742083</v>
      </c>
      <c r="T115" s="2">
        <f t="shared" si="17"/>
        <v>7490763.4152954072</v>
      </c>
      <c r="U115" s="11">
        <f>IF(_xlfn.NUMBERVALUE(L115)&gt;0,L115,U114)</f>
        <v>1803714.6244544683</v>
      </c>
      <c r="V115" s="3">
        <v>6.7</v>
      </c>
    </row>
    <row r="116" spans="1:22" x14ac:dyDescent="0.25">
      <c r="A116" s="13">
        <v>43677</v>
      </c>
      <c r="B116" s="8">
        <f t="shared" si="9"/>
        <v>0.50643451930355798</v>
      </c>
      <c r="C116" s="8">
        <f t="shared" si="10"/>
        <v>0.70720069945737873</v>
      </c>
      <c r="D116" s="8">
        <f t="shared" si="11"/>
        <v>0.30381165919282505</v>
      </c>
      <c r="E116" s="8">
        <f t="shared" si="12"/>
        <v>1.0573858921161827</v>
      </c>
      <c r="F116" s="8">
        <f>PRODUCT($K$2:K116)-1</f>
        <v>1.15545135703334</v>
      </c>
      <c r="G116" s="8">
        <f t="shared" si="13"/>
        <v>4.0534352827337941</v>
      </c>
      <c r="H116" s="8">
        <f t="shared" si="14"/>
        <v>2.9982156840290566</v>
      </c>
      <c r="I116" s="8">
        <f t="shared" si="15"/>
        <v>1.7360787724270552</v>
      </c>
      <c r="J116" s="8"/>
      <c r="K116" s="20">
        <f t="shared" si="16"/>
        <v>1.0056875000000001</v>
      </c>
      <c r="L116" s="2" t="s">
        <v>61</v>
      </c>
      <c r="M116" s="2">
        <v>39800000</v>
      </c>
      <c r="N116" s="2">
        <v>39992788.712036729</v>
      </c>
      <c r="O116" s="2">
        <v>23260</v>
      </c>
      <c r="P116" s="3">
        <v>991.66</v>
      </c>
      <c r="Q116" s="3">
        <v>6.8250000000000002</v>
      </c>
      <c r="R116" s="2">
        <v>9860081</v>
      </c>
      <c r="S116" s="2">
        <v>7750773</v>
      </c>
      <c r="T116" s="2">
        <f t="shared" si="17"/>
        <v>7490763.4152954072</v>
      </c>
      <c r="U116" s="11">
        <f>IF(_xlfn.NUMBERVALUE(L116)&gt;0,L116,U115)</f>
        <v>1803714.6244544683</v>
      </c>
    </row>
    <row r="117" spans="1:22" x14ac:dyDescent="0.25">
      <c r="A117" s="13">
        <v>43708</v>
      </c>
      <c r="B117" s="8">
        <f t="shared" si="9"/>
        <v>0.61241483724451173</v>
      </c>
      <c r="C117" s="8">
        <f t="shared" si="10"/>
        <v>0.81775024210489522</v>
      </c>
      <c r="D117" s="8">
        <f t="shared" si="11"/>
        <v>0.3032511210762332</v>
      </c>
      <c r="E117" s="8">
        <f t="shared" si="12"/>
        <v>1.0416182572614106</v>
      </c>
      <c r="F117" s="8">
        <f>PRODUCT($K$2:K117)-1</f>
        <v>1.167832165332106</v>
      </c>
      <c r="G117" s="8">
        <f t="shared" si="13"/>
        <v>4.0990767562337149</v>
      </c>
      <c r="H117" s="8">
        <f t="shared" si="14"/>
        <v>3.0234710542578558</v>
      </c>
      <c r="I117" s="8">
        <f t="shared" si="15"/>
        <v>1.7360787724270552</v>
      </c>
      <c r="J117" s="8"/>
      <c r="K117" s="20">
        <f t="shared" si="16"/>
        <v>1.0057439516129032</v>
      </c>
      <c r="L117" s="2" t="s">
        <v>61</v>
      </c>
      <c r="M117" s="2">
        <v>42600000</v>
      </c>
      <c r="N117" s="2">
        <v>42582516.15458034</v>
      </c>
      <c r="O117" s="2">
        <v>23250</v>
      </c>
      <c r="P117" s="3">
        <v>984.06</v>
      </c>
      <c r="Q117" s="3">
        <v>6.8927419354838717</v>
      </c>
      <c r="R117" s="2">
        <v>9949135</v>
      </c>
      <c r="S117" s="2">
        <v>7799732</v>
      </c>
      <c r="T117" s="2">
        <f t="shared" si="17"/>
        <v>7490763.4152954072</v>
      </c>
      <c r="U117" s="11">
        <f>IF(_xlfn.NUMBERVALUE(L117)&gt;0,L117,U116)</f>
        <v>1803714.6244544683</v>
      </c>
    </row>
    <row r="118" spans="1:22" x14ac:dyDescent="0.25">
      <c r="A118" s="13">
        <v>43738</v>
      </c>
      <c r="B118" s="8">
        <f t="shared" si="9"/>
        <v>0.58213474640423923</v>
      </c>
      <c r="C118" s="8">
        <f t="shared" si="10"/>
        <v>0.75536063106662521</v>
      </c>
      <c r="D118" s="8">
        <f t="shared" si="11"/>
        <v>0.30437219730941711</v>
      </c>
      <c r="E118" s="8">
        <f t="shared" si="12"/>
        <v>1.0675518672199167</v>
      </c>
      <c r="F118" s="8">
        <f>PRODUCT($K$2:K118)-1</f>
        <v>1.1802068739425438</v>
      </c>
      <c r="G118" s="8">
        <f t="shared" si="13"/>
        <v>4.1680612188416761</v>
      </c>
      <c r="H118" s="8">
        <f t="shared" si="14"/>
        <v>3.0694732889085596</v>
      </c>
      <c r="I118" s="8">
        <f t="shared" si="15"/>
        <v>1.7973568540358467</v>
      </c>
      <c r="J118" s="8"/>
      <c r="K118" s="20">
        <f t="shared" si="16"/>
        <v>1.0057083333333334</v>
      </c>
      <c r="L118" s="2">
        <v>2004097.3199166781</v>
      </c>
      <c r="M118" s="2">
        <v>41800000</v>
      </c>
      <c r="N118" s="2">
        <v>41120980.593545981</v>
      </c>
      <c r="O118" s="2">
        <v>23270</v>
      </c>
      <c r="P118" s="3">
        <v>996.56</v>
      </c>
      <c r="Q118" s="3">
        <v>6.8500000000000014</v>
      </c>
      <c r="R118" s="2">
        <v>10083735</v>
      </c>
      <c r="S118" s="2">
        <v>7888910</v>
      </c>
      <c r="T118" s="2">
        <f t="shared" si="17"/>
        <v>7658528.9111211896</v>
      </c>
      <c r="U118" s="11">
        <f>IF(_xlfn.NUMBERVALUE(L118)&gt;0,L118,U117)</f>
        <v>2004097.3199166781</v>
      </c>
      <c r="V118" s="3">
        <v>7.5</v>
      </c>
    </row>
    <row r="119" spans="1:22" x14ac:dyDescent="0.25">
      <c r="A119" s="13">
        <v>43769</v>
      </c>
      <c r="B119" s="8">
        <f t="shared" si="9"/>
        <v>0.58819076457229369</v>
      </c>
      <c r="C119" s="8">
        <f t="shared" si="10"/>
        <v>0.81009223513201256</v>
      </c>
      <c r="D119" s="8">
        <f t="shared" si="11"/>
        <v>0.30437219730941711</v>
      </c>
      <c r="E119" s="8">
        <f t="shared" si="12"/>
        <v>1.0722406639004149</v>
      </c>
      <c r="F119" s="8">
        <f>PRODUCT($K$2:K119)-1</f>
        <v>1.1927284115397971</v>
      </c>
      <c r="G119" s="8">
        <f t="shared" si="13"/>
        <v>4.1961957067678579</v>
      </c>
      <c r="H119" s="8">
        <f t="shared" si="14"/>
        <v>3.0930676306821878</v>
      </c>
      <c r="I119" s="8">
        <f t="shared" si="15"/>
        <v>1.7973568540358467</v>
      </c>
      <c r="J119" s="8"/>
      <c r="K119" s="20">
        <f t="shared" si="16"/>
        <v>1.0057432795698924</v>
      </c>
      <c r="L119" s="2" t="s">
        <v>61</v>
      </c>
      <c r="M119" s="2">
        <v>41960000</v>
      </c>
      <c r="N119" s="2">
        <v>42403120.108808368</v>
      </c>
      <c r="O119" s="2">
        <v>23270</v>
      </c>
      <c r="P119" s="3">
        <v>998.82</v>
      </c>
      <c r="Q119" s="3">
        <v>6.8919354838709683</v>
      </c>
      <c r="R119" s="2">
        <v>10138630</v>
      </c>
      <c r="S119" s="2">
        <v>7934649</v>
      </c>
      <c r="T119" s="2">
        <f t="shared" si="17"/>
        <v>7658528.9111211896</v>
      </c>
      <c r="U119" s="11">
        <f>IF(_xlfn.NUMBERVALUE(L119)&gt;0,L119,U118)</f>
        <v>2004097.3199166781</v>
      </c>
    </row>
    <row r="120" spans="1:22" x14ac:dyDescent="0.25">
      <c r="A120" s="13">
        <v>43799</v>
      </c>
      <c r="B120" s="8">
        <f t="shared" si="9"/>
        <v>0.56964420893262679</v>
      </c>
      <c r="C120" s="8">
        <f t="shared" si="10"/>
        <v>0.7533551640202385</v>
      </c>
      <c r="D120" s="8">
        <f t="shared" si="11"/>
        <v>0.30297085201793728</v>
      </c>
      <c r="E120" s="8">
        <f t="shared" si="12"/>
        <v>1.0140041493775933</v>
      </c>
      <c r="F120" s="8">
        <f>PRODUCT($K$2:K120)-1</f>
        <v>1.2053365999061509</v>
      </c>
      <c r="G120" s="8">
        <f t="shared" si="13"/>
        <v>4.2660668196010176</v>
      </c>
      <c r="H120" s="8">
        <f t="shared" si="14"/>
        <v>3.128874658380095</v>
      </c>
      <c r="I120" s="8">
        <f t="shared" si="15"/>
        <v>1.7973568540358467</v>
      </c>
      <c r="J120" s="8"/>
      <c r="K120" s="20">
        <f t="shared" si="16"/>
        <v>1.0057499999999999</v>
      </c>
      <c r="L120" s="2" t="s">
        <v>61</v>
      </c>
      <c r="M120" s="2">
        <v>41470000</v>
      </c>
      <c r="N120" s="2">
        <v>41074000.633966193</v>
      </c>
      <c r="O120" s="2">
        <v>23245</v>
      </c>
      <c r="P120" s="3">
        <v>970.75</v>
      </c>
      <c r="Q120" s="3">
        <v>6.9</v>
      </c>
      <c r="R120" s="2">
        <v>10274960</v>
      </c>
      <c r="S120" s="2">
        <v>8004063</v>
      </c>
      <c r="T120" s="2">
        <f t="shared" si="17"/>
        <v>7658528.9111211896</v>
      </c>
      <c r="U120" s="11">
        <f>IF(_xlfn.NUMBERVALUE(L120)&gt;0,L120,U119)</f>
        <v>2004097.3199166781</v>
      </c>
    </row>
    <row r="121" spans="1:22" x14ac:dyDescent="0.25">
      <c r="A121" s="13">
        <v>43830</v>
      </c>
      <c r="B121" s="8">
        <f t="shared" si="9"/>
        <v>0.61809235427706288</v>
      </c>
      <c r="C121" s="8">
        <f t="shared" si="10"/>
        <v>0.81666484217813951</v>
      </c>
      <c r="D121" s="8">
        <f t="shared" si="11"/>
        <v>0.30213004484304928</v>
      </c>
      <c r="E121" s="8">
        <f t="shared" si="12"/>
        <v>0.99375518672199181</v>
      </c>
      <c r="F121" s="8">
        <f>PRODUCT($K$2:K121)-1</f>
        <v>1.217833507305619</v>
      </c>
      <c r="G121" s="8">
        <f t="shared" si="13"/>
        <v>4.4191882384053827</v>
      </c>
      <c r="H121" s="8">
        <f t="shared" si="14"/>
        <v>3.2275717311527439</v>
      </c>
      <c r="I121" s="8">
        <f t="shared" si="15"/>
        <v>1.858361619836046</v>
      </c>
      <c r="J121" s="8"/>
      <c r="K121" s="20">
        <f t="shared" si="16"/>
        <v>1.0056666666666667</v>
      </c>
      <c r="L121" s="2">
        <v>2211089.7065458372</v>
      </c>
      <c r="M121" s="2">
        <v>42750000</v>
      </c>
      <c r="N121" s="2">
        <v>42557089.636214577</v>
      </c>
      <c r="O121" s="2">
        <v>23230</v>
      </c>
      <c r="P121" s="3">
        <v>960.99</v>
      </c>
      <c r="Q121" s="3">
        <v>6.8</v>
      </c>
      <c r="R121" s="2">
        <v>10573725</v>
      </c>
      <c r="S121" s="2">
        <v>8195393</v>
      </c>
      <c r="T121" s="2">
        <f t="shared" si="17"/>
        <v>7825546.1302231951</v>
      </c>
      <c r="U121" s="11">
        <f>IF(_xlfn.NUMBERVALUE(L121)&gt;0,L121,U120)</f>
        <v>2211089.7065458372</v>
      </c>
      <c r="V121" s="3">
        <v>7</v>
      </c>
    </row>
    <row r="122" spans="1:22" x14ac:dyDescent="0.25">
      <c r="A122" s="13">
        <v>43861</v>
      </c>
      <c r="B122" s="8">
        <f t="shared" si="9"/>
        <v>0.69000757002270996</v>
      </c>
      <c r="C122" s="8">
        <f t="shared" si="10"/>
        <v>0.895722506880958</v>
      </c>
      <c r="D122" s="8">
        <f t="shared" si="11"/>
        <v>0.30437219730941711</v>
      </c>
      <c r="E122" s="8">
        <f t="shared" si="12"/>
        <v>0.94319502074688799</v>
      </c>
      <c r="F122" s="8">
        <f>PRODUCT($K$2:K122)-1</f>
        <v>1.2303207446202737</v>
      </c>
      <c r="G122" s="8">
        <f t="shared" si="13"/>
        <v>4.5136441631764423</v>
      </c>
      <c r="H122" s="8">
        <f t="shared" si="14"/>
        <v>3.2317036941891857</v>
      </c>
      <c r="I122" s="8">
        <f t="shared" si="15"/>
        <v>1.858361619836046</v>
      </c>
      <c r="J122" s="8"/>
      <c r="K122" s="20">
        <f t="shared" si="16"/>
        <v>1.0056303763440859</v>
      </c>
      <c r="L122" s="2" t="s">
        <v>61</v>
      </c>
      <c r="M122" s="2">
        <v>44650000</v>
      </c>
      <c r="N122" s="2">
        <v>44409090.096108831</v>
      </c>
      <c r="O122" s="2">
        <v>23270</v>
      </c>
      <c r="P122" s="3">
        <v>936.62</v>
      </c>
      <c r="Q122" s="3">
        <v>6.7564516129032253</v>
      </c>
      <c r="R122" s="2">
        <v>10758024</v>
      </c>
      <c r="S122" s="2">
        <v>8203403.0499999998</v>
      </c>
      <c r="T122" s="2">
        <f t="shared" si="17"/>
        <v>7825546.1302231951</v>
      </c>
      <c r="U122" s="11">
        <f>IF(_xlfn.NUMBERVALUE(L122)&gt;0,L122,U121)</f>
        <v>2211089.7065458372</v>
      </c>
    </row>
    <row r="123" spans="1:22" x14ac:dyDescent="0.25">
      <c r="A123" s="13">
        <v>43890</v>
      </c>
      <c r="B123" s="8">
        <f t="shared" si="9"/>
        <v>0.73353520060560173</v>
      </c>
      <c r="C123" s="8">
        <f t="shared" si="10"/>
        <v>0.8764270282513793</v>
      </c>
      <c r="D123" s="8">
        <f t="shared" si="11"/>
        <v>0.30661434977578472</v>
      </c>
      <c r="E123" s="8">
        <f t="shared" si="12"/>
        <v>0.83026970954356849</v>
      </c>
      <c r="F123" s="8">
        <f>PRODUCT($K$2:K123)-1</f>
        <v>1.2429560243559603</v>
      </c>
      <c r="G123" s="8">
        <f t="shared" si="13"/>
        <v>4.4700066216883867</v>
      </c>
      <c r="H123" s="8">
        <f t="shared" si="14"/>
        <v>3.2347765710388856</v>
      </c>
      <c r="I123" s="8">
        <f t="shared" si="15"/>
        <v>1.858361619836046</v>
      </c>
      <c r="J123" s="8"/>
      <c r="K123" s="20">
        <f t="shared" si="16"/>
        <v>1.0056652298850575</v>
      </c>
      <c r="L123" s="2" t="s">
        <v>61</v>
      </c>
      <c r="M123" s="2">
        <v>45800000</v>
      </c>
      <c r="N123" s="2">
        <v>43957075.286030769</v>
      </c>
      <c r="O123" s="2">
        <v>23310</v>
      </c>
      <c r="P123" s="3">
        <v>882.19</v>
      </c>
      <c r="Q123" s="3">
        <v>6.7982758620689658</v>
      </c>
      <c r="R123" s="2">
        <v>10672880</v>
      </c>
      <c r="S123" s="2">
        <v>8209360</v>
      </c>
      <c r="T123" s="2">
        <f t="shared" si="17"/>
        <v>7825546.1302231951</v>
      </c>
      <c r="U123" s="11">
        <f>IF(_xlfn.NUMBERVALUE(L123)&gt;0,L123,U122)</f>
        <v>2211089.7065458372</v>
      </c>
    </row>
    <row r="124" spans="1:22" x14ac:dyDescent="0.25">
      <c r="A124" s="13">
        <v>43921</v>
      </c>
      <c r="B124" s="8">
        <f t="shared" si="9"/>
        <v>0.82437547312641946</v>
      </c>
      <c r="C124" s="8">
        <f t="shared" si="10"/>
        <v>0.92810324153385593</v>
      </c>
      <c r="D124" s="8">
        <f t="shared" si="11"/>
        <v>0.32623318385650224</v>
      </c>
      <c r="E124" s="8">
        <f t="shared" si="12"/>
        <v>0.37454356846473025</v>
      </c>
      <c r="F124" s="8">
        <f>PRODUCT($K$2:K124)-1</f>
        <v>1.2556661084939775</v>
      </c>
      <c r="G124" s="8">
        <f t="shared" si="13"/>
        <v>4.5123874774237329</v>
      </c>
      <c r="H124" s="8">
        <f t="shared" si="14"/>
        <v>3.2827771983092591</v>
      </c>
      <c r="I124" s="8">
        <f t="shared" si="15"/>
        <v>1.9029044780518558</v>
      </c>
      <c r="J124" s="8"/>
      <c r="K124" s="20">
        <f t="shared" si="16"/>
        <v>1.0056666666666667</v>
      </c>
      <c r="L124" s="2">
        <v>1928592.7273238308</v>
      </c>
      <c r="M124" s="2">
        <v>48200000</v>
      </c>
      <c r="N124" s="2">
        <v>45167639.386608467</v>
      </c>
      <c r="O124" s="2">
        <v>23660</v>
      </c>
      <c r="P124" s="3">
        <v>662.53</v>
      </c>
      <c r="Q124" s="3">
        <v>6.8</v>
      </c>
      <c r="R124" s="2">
        <v>10755572</v>
      </c>
      <c r="S124" s="2">
        <v>8302412</v>
      </c>
      <c r="T124" s="2">
        <f t="shared" si="17"/>
        <v>7947494.3782408144</v>
      </c>
      <c r="U124" s="11">
        <f>IF(_xlfn.NUMBERVALUE(L124)&gt;0,L124,U123)</f>
        <v>1928592.7273238308</v>
      </c>
      <c r="V124" s="3">
        <v>3.7</v>
      </c>
    </row>
    <row r="125" spans="1:22" x14ac:dyDescent="0.25">
      <c r="A125" s="13">
        <v>43951</v>
      </c>
      <c r="B125" s="8">
        <f t="shared" si="9"/>
        <v>0.83573050719152153</v>
      </c>
      <c r="C125" s="8">
        <f t="shared" si="10"/>
        <v>1.0378451340196593</v>
      </c>
      <c r="D125" s="8">
        <f t="shared" si="11"/>
        <v>0.31782511210762321</v>
      </c>
      <c r="E125" s="8">
        <f t="shared" si="12"/>
        <v>0.59566390041493777</v>
      </c>
      <c r="F125" s="8">
        <f>PRODUCT($K$2:K125)-1</f>
        <v>1.2683667618326369</v>
      </c>
      <c r="G125" s="8">
        <f t="shared" si="13"/>
        <v>4.5248308189367989</v>
      </c>
      <c r="H125" s="8">
        <f t="shared" si="14"/>
        <v>3.2873635970654478</v>
      </c>
      <c r="I125" s="8">
        <f t="shared" si="15"/>
        <v>1.9029044780518558</v>
      </c>
      <c r="J125" s="8"/>
      <c r="K125" s="20">
        <f t="shared" si="16"/>
        <v>1.0056305555555556</v>
      </c>
      <c r="L125" s="2" t="s">
        <v>61</v>
      </c>
      <c r="M125" s="2">
        <v>48500000</v>
      </c>
      <c r="N125" s="2">
        <v>47738446.861346938</v>
      </c>
      <c r="O125" s="2">
        <v>23510</v>
      </c>
      <c r="P125" s="3">
        <v>769.11</v>
      </c>
      <c r="Q125" s="3">
        <v>6.7566666666666659</v>
      </c>
      <c r="R125" s="2">
        <v>10779851</v>
      </c>
      <c r="S125" s="2">
        <v>8311303</v>
      </c>
      <c r="T125" s="2">
        <f t="shared" si="17"/>
        <v>7947494.3782408144</v>
      </c>
      <c r="U125" s="11">
        <f>IF(_xlfn.NUMBERVALUE(L125)&gt;0,L125,U124)</f>
        <v>1928592.7273238308</v>
      </c>
    </row>
    <row r="126" spans="1:22" x14ac:dyDescent="0.25">
      <c r="A126" s="13">
        <v>43982</v>
      </c>
      <c r="B126" s="8">
        <f t="shared" si="9"/>
        <v>0.85087055261165778</v>
      </c>
      <c r="C126" s="8">
        <f t="shared" si="10"/>
        <v>1.1068971100609564</v>
      </c>
      <c r="D126" s="8">
        <f t="shared" si="11"/>
        <v>0.30997757847533625</v>
      </c>
      <c r="E126" s="8">
        <f t="shared" si="12"/>
        <v>0.79350622406639015</v>
      </c>
      <c r="F126" s="8">
        <f>PRODUCT($K$2:K126)-1</f>
        <v>1.2810683961468774</v>
      </c>
      <c r="G126" s="8">
        <f t="shared" si="13"/>
        <v>4.6010079111750732</v>
      </c>
      <c r="H126" s="8">
        <f t="shared" si="14"/>
        <v>3.3119911810737674</v>
      </c>
      <c r="I126" s="8">
        <f t="shared" si="15"/>
        <v>1.9029044780518558</v>
      </c>
      <c r="J126" s="8"/>
      <c r="K126" s="20">
        <f t="shared" si="16"/>
        <v>1.0055994623655915</v>
      </c>
      <c r="L126" s="2" t="s">
        <v>61</v>
      </c>
      <c r="M126" s="2">
        <v>48900000</v>
      </c>
      <c r="N126" s="2">
        <v>49356054.614697769</v>
      </c>
      <c r="O126" s="2">
        <v>23370</v>
      </c>
      <c r="P126" s="3">
        <v>864.47</v>
      </c>
      <c r="Q126" s="3">
        <v>6.7193548387096778</v>
      </c>
      <c r="R126" s="2">
        <v>10928485</v>
      </c>
      <c r="S126" s="2">
        <v>8359045</v>
      </c>
      <c r="T126" s="2">
        <f t="shared" si="17"/>
        <v>7947494.3782408144</v>
      </c>
      <c r="U126" s="11">
        <f>IF(_xlfn.NUMBERVALUE(L126)&gt;0,L126,U125)</f>
        <v>1928592.7273238308</v>
      </c>
    </row>
    <row r="127" spans="1:22" x14ac:dyDescent="0.25">
      <c r="A127" s="13">
        <v>44012</v>
      </c>
      <c r="B127" s="8">
        <f t="shared" si="9"/>
        <v>0.86941710825132468</v>
      </c>
      <c r="C127" s="8">
        <f t="shared" si="10"/>
        <v>1.1591058987180864</v>
      </c>
      <c r="D127" s="8">
        <f t="shared" si="11"/>
        <v>0.30605381165919288</v>
      </c>
      <c r="E127" s="8">
        <f t="shared" si="12"/>
        <v>0.71184647302904569</v>
      </c>
      <c r="F127" s="8">
        <f>PRODUCT($K$2:K127)-1</f>
        <v>1.2934241832926729</v>
      </c>
      <c r="G127" s="8">
        <f t="shared" si="13"/>
        <v>4.6983539056686165</v>
      </c>
      <c r="H127" s="8">
        <f t="shared" si="14"/>
        <v>3.3818673467598082</v>
      </c>
      <c r="I127" s="8">
        <f t="shared" si="15"/>
        <v>1.9105273666345326</v>
      </c>
      <c r="J127" s="8"/>
      <c r="K127" s="20">
        <f t="shared" si="16"/>
        <v>1.0054166666666666</v>
      </c>
      <c r="L127" s="2">
        <v>1824584.3653001748</v>
      </c>
      <c r="M127" s="2">
        <v>49390000</v>
      </c>
      <c r="N127" s="2">
        <v>50579094.796405546</v>
      </c>
      <c r="O127" s="2">
        <v>23300</v>
      </c>
      <c r="P127" s="3">
        <v>825.11</v>
      </c>
      <c r="Q127" s="3">
        <v>6.5</v>
      </c>
      <c r="R127" s="2">
        <v>11118423</v>
      </c>
      <c r="S127" s="2">
        <v>8494504</v>
      </c>
      <c r="T127" s="2">
        <f t="shared" si="17"/>
        <v>7968364.1190865207</v>
      </c>
      <c r="U127" s="11">
        <f>IF(_xlfn.NUMBERVALUE(L127)&gt;0,L127,U126)</f>
        <v>1824584.3653001748</v>
      </c>
      <c r="V127" s="3">
        <v>0.4</v>
      </c>
    </row>
    <row r="128" spans="1:22" x14ac:dyDescent="0.25">
      <c r="A128" s="13">
        <v>44043</v>
      </c>
      <c r="B128" s="8">
        <f t="shared" si="9"/>
        <v>1.194549583648751</v>
      </c>
      <c r="C128" s="8">
        <f t="shared" si="10"/>
        <v>1.350700721258681</v>
      </c>
      <c r="D128" s="8">
        <f t="shared" si="11"/>
        <v>0.30437219730941711</v>
      </c>
      <c r="E128" s="8">
        <f t="shared" si="12"/>
        <v>0.65641078838174272</v>
      </c>
      <c r="F128" s="8">
        <f>PRODUCT($K$2:K128)-1</f>
        <v>1.3050146065845825</v>
      </c>
      <c r="G128" s="8">
        <f t="shared" si="13"/>
        <v>4.7213852859113841</v>
      </c>
      <c r="H128" s="8">
        <f t="shared" si="14"/>
        <v>3.398829439201716</v>
      </c>
      <c r="I128" s="8">
        <f t="shared" si="15"/>
        <v>1.9105273666345326</v>
      </c>
      <c r="J128" s="8"/>
      <c r="K128" s="20">
        <f t="shared" si="16"/>
        <v>1.0050537634408603</v>
      </c>
      <c r="L128" s="2" t="s">
        <v>61</v>
      </c>
      <c r="M128" s="2">
        <v>57980000</v>
      </c>
      <c r="N128" s="2">
        <v>55067384.461833641</v>
      </c>
      <c r="O128" s="2">
        <v>23270</v>
      </c>
      <c r="P128" s="3">
        <v>798.39</v>
      </c>
      <c r="Q128" s="3">
        <v>6.064516129032258</v>
      </c>
      <c r="R128" s="2">
        <v>11163361</v>
      </c>
      <c r="S128" s="2">
        <v>8527386</v>
      </c>
      <c r="T128" s="2">
        <f t="shared" si="17"/>
        <v>7968364.1190865207</v>
      </c>
      <c r="U128" s="11">
        <f>IF(_xlfn.NUMBERVALUE(L128)&gt;0,L128,U127)</f>
        <v>1824584.3653001748</v>
      </c>
    </row>
    <row r="129" spans="1:22" x14ac:dyDescent="0.25">
      <c r="A129" s="13">
        <v>44074</v>
      </c>
      <c r="B129" s="8">
        <f t="shared" si="9"/>
        <v>1.1725965177895534</v>
      </c>
      <c r="C129" s="8">
        <f t="shared" si="10"/>
        <v>1.3696231271591701</v>
      </c>
      <c r="D129" s="8">
        <f t="shared" si="11"/>
        <v>0.30437219730941711</v>
      </c>
      <c r="E129" s="8">
        <f t="shared" si="12"/>
        <v>0.82914937759336094</v>
      </c>
      <c r="F129" s="8">
        <f>PRODUCT($K$2:K129)-1</f>
        <v>1.3165396796175051</v>
      </c>
      <c r="G129" s="8">
        <f t="shared" si="13"/>
        <v>4.7996119239592367</v>
      </c>
      <c r="H129" s="8">
        <f t="shared" si="14"/>
        <v>3.4315506680738981</v>
      </c>
      <c r="I129" s="8">
        <f t="shared" si="15"/>
        <v>1.9105273666345326</v>
      </c>
      <c r="J129" s="8"/>
      <c r="K129" s="20">
        <f t="shared" si="16"/>
        <v>1.0049999999999999</v>
      </c>
      <c r="L129" s="2" t="s">
        <v>61</v>
      </c>
      <c r="M129" s="2">
        <v>57400000</v>
      </c>
      <c r="N129" s="2">
        <v>55510659.690892637</v>
      </c>
      <c r="O129" s="2">
        <v>23270</v>
      </c>
      <c r="P129" s="3">
        <v>881.65</v>
      </c>
      <c r="Q129" s="3">
        <v>6</v>
      </c>
      <c r="R129" s="2">
        <v>11315994</v>
      </c>
      <c r="S129" s="2">
        <v>8590818</v>
      </c>
      <c r="T129" s="2">
        <f t="shared" si="17"/>
        <v>7968364.1190865207</v>
      </c>
      <c r="U129" s="11">
        <f>IF(_xlfn.NUMBERVALUE(L129)&gt;0,L129,U128)</f>
        <v>1824584.3653001748</v>
      </c>
    </row>
    <row r="130" spans="1:22" x14ac:dyDescent="0.25">
      <c r="A130" s="13">
        <v>44104</v>
      </c>
      <c r="B130" s="8">
        <f t="shared" si="9"/>
        <v>1.1044663133989401</v>
      </c>
      <c r="C130" s="8">
        <f t="shared" si="10"/>
        <v>1.2701004209807842</v>
      </c>
      <c r="D130" s="8">
        <f t="shared" si="11"/>
        <v>0.30437219730941711</v>
      </c>
      <c r="E130" s="8">
        <f t="shared" si="12"/>
        <v>0.87802904564315365</v>
      </c>
      <c r="F130" s="8">
        <f>PRODUCT($K$2:K130)-1</f>
        <v>1.3284441196377617</v>
      </c>
      <c r="G130" s="8">
        <f t="shared" si="13"/>
        <v>4.8866630380634328</v>
      </c>
      <c r="H130" s="8">
        <f t="shared" si="14"/>
        <v>3.4848026213298748</v>
      </c>
      <c r="I130" s="8">
        <f t="shared" si="15"/>
        <v>1.9361225604620644</v>
      </c>
      <c r="J130" s="8"/>
      <c r="K130" s="20">
        <f t="shared" si="16"/>
        <v>1.0051388888888888</v>
      </c>
      <c r="L130" s="2">
        <v>2074171.1582369818</v>
      </c>
      <c r="M130" s="2">
        <v>55600000</v>
      </c>
      <c r="N130" s="2">
        <v>53179246.306685753</v>
      </c>
      <c r="O130" s="2">
        <v>23270</v>
      </c>
      <c r="P130" s="3">
        <v>905.21</v>
      </c>
      <c r="Q130" s="3">
        <v>6.166666666666667</v>
      </c>
      <c r="R130" s="2">
        <v>11485845</v>
      </c>
      <c r="S130" s="2">
        <v>8694050</v>
      </c>
      <c r="T130" s="2">
        <f t="shared" si="17"/>
        <v>8038437.9574068245</v>
      </c>
      <c r="U130" s="11">
        <f>IF(_xlfn.NUMBERVALUE(L130)&gt;0,L130,U129)</f>
        <v>2074171.1582369818</v>
      </c>
      <c r="V130" s="3">
        <v>2.6</v>
      </c>
    </row>
    <row r="131" spans="1:22" x14ac:dyDescent="0.25">
      <c r="A131" s="13">
        <v>44135</v>
      </c>
      <c r="B131" s="8">
        <f t="shared" ref="B131:B194" si="18">M131/$M$2-1</f>
        <v>1.1366389099167296</v>
      </c>
      <c r="C131" s="8">
        <f t="shared" ref="C131:C194" si="19">N131/N$2-1</f>
        <v>1.2514174818381161</v>
      </c>
      <c r="D131" s="8">
        <f t="shared" ref="D131:D194" si="20">O131/O$2-1</f>
        <v>0.30437219730941711</v>
      </c>
      <c r="E131" s="8">
        <f t="shared" ref="E131:E194" si="21">P131/P$2-1</f>
        <v>0.92006224066390052</v>
      </c>
      <c r="F131" s="8">
        <f>PRODUCT($K$2:K131)-1</f>
        <v>1.3401238957862671</v>
      </c>
      <c r="G131" s="8">
        <f t="shared" ref="G131:G194" si="22">R131/R$2-1</f>
        <v>4.9228465674848447</v>
      </c>
      <c r="H131" s="8">
        <f t="shared" ref="H131:H194" si="23">S131/S$2-1</f>
        <v>3.5147078395384614</v>
      </c>
      <c r="I131" s="8">
        <f t="shared" ref="I131:I194" si="24">T131/T$2-1</f>
        <v>1.9361225604620644</v>
      </c>
      <c r="J131" s="8"/>
      <c r="K131" s="20">
        <f t="shared" ref="K131:K194" si="25">1+Q131%/12</f>
        <v>1.0050161290322581</v>
      </c>
      <c r="L131" s="2" t="s">
        <v>61</v>
      </c>
      <c r="M131" s="2">
        <v>56450000</v>
      </c>
      <c r="N131" s="2">
        <v>52741580.812587693</v>
      </c>
      <c r="O131" s="2">
        <v>23270</v>
      </c>
      <c r="P131" s="3">
        <v>925.47</v>
      </c>
      <c r="Q131" s="3">
        <v>6.0193548387096776</v>
      </c>
      <c r="R131" s="2">
        <v>11556445</v>
      </c>
      <c r="S131" s="2">
        <v>8752023</v>
      </c>
      <c r="T131" s="2">
        <f t="shared" si="17"/>
        <v>8038437.9574068245</v>
      </c>
      <c r="U131" s="11">
        <f>IF(_xlfn.NUMBERVALUE(L131)&gt;0,L131,U130)</f>
        <v>2074171.1582369818</v>
      </c>
    </row>
    <row r="132" spans="1:22" x14ac:dyDescent="0.25">
      <c r="A132" s="13">
        <v>44165</v>
      </c>
      <c r="B132" s="8">
        <f t="shared" si="18"/>
        <v>1.0344436033308102</v>
      </c>
      <c r="C132" s="8">
        <f t="shared" si="19"/>
        <v>1.1229691816725134</v>
      </c>
      <c r="D132" s="8">
        <f t="shared" si="20"/>
        <v>0.30213004484304928</v>
      </c>
      <c r="E132" s="8">
        <f t="shared" si="21"/>
        <v>1.0810788381742737</v>
      </c>
      <c r="F132" s="8">
        <f>PRODUCT($K$2:K132)-1</f>
        <v>1.3514344946159005</v>
      </c>
      <c r="G132" s="8">
        <f t="shared" si="22"/>
        <v>5.0118677876385584</v>
      </c>
      <c r="H132" s="8">
        <f t="shared" si="23"/>
        <v>3.5832103037412342</v>
      </c>
      <c r="I132" s="8">
        <f t="shared" si="24"/>
        <v>1.9361225604620644</v>
      </c>
      <c r="J132" s="8"/>
      <c r="K132" s="20">
        <f t="shared" si="25"/>
        <v>1.0048333333333332</v>
      </c>
      <c r="L132" s="2" t="s">
        <v>61</v>
      </c>
      <c r="M132" s="2">
        <v>53750000</v>
      </c>
      <c r="N132" s="2">
        <v>49732558.071104527</v>
      </c>
      <c r="O132" s="2">
        <v>23230</v>
      </c>
      <c r="P132" s="2">
        <v>1003.08</v>
      </c>
      <c r="Q132" s="3">
        <v>5.8</v>
      </c>
      <c r="R132" s="2">
        <v>11730140</v>
      </c>
      <c r="S132" s="2">
        <v>8884819</v>
      </c>
      <c r="T132" s="2">
        <f t="shared" si="17"/>
        <v>8038437.9574068245</v>
      </c>
      <c r="U132" s="11">
        <f>IF(_xlfn.NUMBERVALUE(L132)&gt;0,L132,U131)</f>
        <v>2074171.1582369818</v>
      </c>
    </row>
    <row r="133" spans="1:22" x14ac:dyDescent="0.25">
      <c r="A133" s="13">
        <v>44196</v>
      </c>
      <c r="B133" s="8">
        <f t="shared" si="18"/>
        <v>1.1233913701741107</v>
      </c>
      <c r="C133" s="8">
        <f t="shared" si="19"/>
        <v>1.2642569590715778</v>
      </c>
      <c r="D133" s="8">
        <f t="shared" si="20"/>
        <v>0.30128923766816151</v>
      </c>
      <c r="E133" s="8">
        <f t="shared" si="21"/>
        <v>1.2901867219917009</v>
      </c>
      <c r="F133" s="8">
        <f>PRODUCT($K$2:K133)-1</f>
        <v>1.3627997613398772</v>
      </c>
      <c r="G133" s="8">
        <f t="shared" si="22"/>
        <v>5.2068621602284582</v>
      </c>
      <c r="H133" s="8">
        <f t="shared" si="23"/>
        <v>3.7419607770311751</v>
      </c>
      <c r="I133" s="8">
        <f t="shared" si="24"/>
        <v>1.9805132319559897</v>
      </c>
      <c r="J133" s="8"/>
      <c r="K133" s="20">
        <f t="shared" si="25"/>
        <v>1.0048333333333332</v>
      </c>
      <c r="L133" s="2">
        <v>2332621.3018193641</v>
      </c>
      <c r="M133" s="2">
        <v>56100000</v>
      </c>
      <c r="N133" s="2">
        <v>53042357.692736611</v>
      </c>
      <c r="O133" s="2">
        <v>23215</v>
      </c>
      <c r="P133" s="2">
        <v>1103.8699999999999</v>
      </c>
      <c r="Q133" s="3">
        <v>5.8</v>
      </c>
      <c r="R133" s="2">
        <v>12110606</v>
      </c>
      <c r="S133" s="2">
        <v>9192566</v>
      </c>
      <c r="T133" s="2">
        <f t="shared" si="17"/>
        <v>8159969.5526803518</v>
      </c>
      <c r="U133" s="11">
        <f>IF(_xlfn.NUMBERVALUE(L133)&gt;0,L133,U132)</f>
        <v>2332621.3018193641</v>
      </c>
      <c r="V133" s="3">
        <v>4.5</v>
      </c>
    </row>
    <row r="134" spans="1:22" x14ac:dyDescent="0.25">
      <c r="A134" s="13">
        <v>44227</v>
      </c>
      <c r="B134" s="8">
        <f t="shared" si="18"/>
        <v>1.1479939439818319</v>
      </c>
      <c r="C134" s="8">
        <f t="shared" si="19"/>
        <v>1.2000152613644302</v>
      </c>
      <c r="D134" s="8">
        <f t="shared" si="20"/>
        <v>0.297085201793722</v>
      </c>
      <c r="E134" s="8">
        <f t="shared" si="21"/>
        <v>1.1921369294605806</v>
      </c>
      <c r="F134" s="8">
        <f>PRODUCT($K$2:K134)-1</f>
        <v>1.3738499787721112</v>
      </c>
      <c r="G134" s="8">
        <f t="shared" si="22"/>
        <v>5.2538141335120985</v>
      </c>
      <c r="H134" s="8">
        <f t="shared" si="23"/>
        <v>3.7779961084476197</v>
      </c>
      <c r="I134" s="8">
        <f t="shared" si="24"/>
        <v>1.9805132319559897</v>
      </c>
      <c r="J134" s="8"/>
      <c r="K134" s="20">
        <f t="shared" si="25"/>
        <v>1.0046767473118279</v>
      </c>
      <c r="L134" s="2" t="s">
        <v>61</v>
      </c>
      <c r="M134" s="2">
        <v>56750000</v>
      </c>
      <c r="N134" s="2">
        <v>51537435.252322257</v>
      </c>
      <c r="O134" s="2">
        <v>23140</v>
      </c>
      <c r="P134" s="2">
        <v>1056.6099999999999</v>
      </c>
      <c r="Q134" s="3">
        <v>5.6120967741935486</v>
      </c>
      <c r="R134" s="2">
        <v>12202217</v>
      </c>
      <c r="S134" s="2">
        <v>9262422.5800000001</v>
      </c>
      <c r="T134" s="2">
        <f t="shared" si="17"/>
        <v>8159969.5526803518</v>
      </c>
      <c r="U134" s="11">
        <f>IF(_xlfn.NUMBERVALUE(L134)&gt;0,L134,U133)</f>
        <v>2332621.3018193641</v>
      </c>
    </row>
    <row r="135" spans="1:22" x14ac:dyDescent="0.25">
      <c r="A135" s="13">
        <v>44255</v>
      </c>
      <c r="B135" s="8">
        <f t="shared" si="18"/>
        <v>1.1271763815291447</v>
      </c>
      <c r="C135" s="8">
        <f t="shared" si="19"/>
        <v>1.0553303874884081</v>
      </c>
      <c r="D135" s="8">
        <f t="shared" si="20"/>
        <v>0.29484304932735417</v>
      </c>
      <c r="E135" s="8">
        <f t="shared" si="21"/>
        <v>1.4242116182572615</v>
      </c>
      <c r="F135" s="8">
        <f>PRODUCT($K$2:K135)-1</f>
        <v>1.3848784901318232</v>
      </c>
      <c r="G135" s="8">
        <f t="shared" si="22"/>
        <v>5.2671364375316481</v>
      </c>
      <c r="H135" s="8">
        <f t="shared" si="23"/>
        <v>3.773172120720659</v>
      </c>
      <c r="I135" s="8">
        <f t="shared" si="24"/>
        <v>1.9805132319559897</v>
      </c>
      <c r="J135" s="8"/>
      <c r="K135" s="20">
        <f t="shared" si="25"/>
        <v>1.0046458333333332</v>
      </c>
      <c r="L135" s="2" t="s">
        <v>61</v>
      </c>
      <c r="M135" s="2">
        <v>56200000</v>
      </c>
      <c r="N135" s="2">
        <v>48148055.43740619</v>
      </c>
      <c r="O135" s="2">
        <v>23100</v>
      </c>
      <c r="P135" s="2">
        <v>1168.47</v>
      </c>
      <c r="Q135" s="3">
        <v>5.5749999999999984</v>
      </c>
      <c r="R135" s="2">
        <v>12228211</v>
      </c>
      <c r="S135" s="2">
        <v>9253071</v>
      </c>
      <c r="T135" s="2">
        <f t="shared" si="17"/>
        <v>8159969.5526803518</v>
      </c>
      <c r="U135" s="11">
        <f>IF(_xlfn.NUMBERVALUE(L135)&gt;0,L135,U134)</f>
        <v>2332621.3018193641</v>
      </c>
    </row>
    <row r="136" spans="1:22" x14ac:dyDescent="0.25">
      <c r="A136" s="13">
        <v>44286</v>
      </c>
      <c r="B136" s="8">
        <f t="shared" si="18"/>
        <v>1.0628311884935653</v>
      </c>
      <c r="C136" s="8">
        <f t="shared" si="19"/>
        <v>1.0436714685119095</v>
      </c>
      <c r="D136" s="8">
        <f t="shared" si="20"/>
        <v>0.29876681614349776</v>
      </c>
      <c r="E136" s="8">
        <f t="shared" si="21"/>
        <v>1.4718672199170126</v>
      </c>
      <c r="F136" s="8">
        <f>PRODUCT($K$2:K136)-1</f>
        <v>1.3959582381172271</v>
      </c>
      <c r="G136" s="8">
        <f t="shared" si="22"/>
        <v>5.329426947196648</v>
      </c>
      <c r="H136" s="8">
        <f t="shared" si="23"/>
        <v>3.8819111937842461</v>
      </c>
      <c r="I136" s="8">
        <f t="shared" si="24"/>
        <v>1.9933575775859311</v>
      </c>
      <c r="J136" s="8"/>
      <c r="K136" s="20">
        <f t="shared" si="25"/>
        <v>1.0046458333333332</v>
      </c>
      <c r="L136" s="2">
        <v>1963757.6338710301</v>
      </c>
      <c r="M136" s="2">
        <v>54500000</v>
      </c>
      <c r="N136" s="2">
        <v>47874934.249378279</v>
      </c>
      <c r="O136" s="2">
        <v>23170</v>
      </c>
      <c r="P136" s="2">
        <v>1191.44</v>
      </c>
      <c r="Q136" s="3">
        <v>5.5749999999999993</v>
      </c>
      <c r="R136" s="2">
        <v>12349750</v>
      </c>
      <c r="S136" s="2">
        <v>9463868</v>
      </c>
      <c r="T136" s="2">
        <f t="shared" si="17"/>
        <v>8195134.4592275508</v>
      </c>
      <c r="U136" s="11">
        <f>IF(_xlfn.NUMBERVALUE(L136)&gt;0,L136,U135)</f>
        <v>1963757.6338710301</v>
      </c>
      <c r="V136" s="3">
        <v>4.5</v>
      </c>
    </row>
    <row r="137" spans="1:22" x14ac:dyDescent="0.25">
      <c r="A137" s="13">
        <v>44316</v>
      </c>
      <c r="B137" s="8">
        <f t="shared" si="18"/>
        <v>1.1063588190764571</v>
      </c>
      <c r="C137" s="8">
        <f t="shared" si="19"/>
        <v>1.1052166769325504</v>
      </c>
      <c r="D137" s="8">
        <f t="shared" si="20"/>
        <v>0.297085201793722</v>
      </c>
      <c r="E137" s="8">
        <f t="shared" si="21"/>
        <v>1.5713485477178426</v>
      </c>
      <c r="F137" s="8">
        <f>PRODUCT($K$2:K137)-1</f>
        <v>1.4070894607651465</v>
      </c>
      <c r="G137" s="8">
        <f t="shared" si="22"/>
        <v>5.3885004028364607</v>
      </c>
      <c r="H137" s="8">
        <f t="shared" si="23"/>
        <v>3.9395097438405253</v>
      </c>
      <c r="I137" s="8">
        <f t="shared" si="24"/>
        <v>1.9933575775859311</v>
      </c>
      <c r="J137" s="8"/>
      <c r="K137" s="20">
        <f t="shared" si="25"/>
        <v>1.0046458333333332</v>
      </c>
      <c r="L137" s="2" t="s">
        <v>61</v>
      </c>
      <c r="M137" s="2">
        <v>55650000</v>
      </c>
      <c r="N137" s="2">
        <v>49316688.88161765</v>
      </c>
      <c r="O137" s="2">
        <v>23140</v>
      </c>
      <c r="P137" s="2">
        <v>1239.3900000000001</v>
      </c>
      <c r="Q137" s="3">
        <v>5.5749999999999993</v>
      </c>
      <c r="R137" s="2">
        <v>12465012</v>
      </c>
      <c r="S137" s="2">
        <v>9575526.1300000008</v>
      </c>
      <c r="T137" s="2">
        <f t="shared" si="17"/>
        <v>8195134.4592275508</v>
      </c>
      <c r="U137" s="11">
        <f>IF(_xlfn.NUMBERVALUE(L137)&gt;0,L137,U136)</f>
        <v>1963757.6338710301</v>
      </c>
    </row>
    <row r="138" spans="1:22" x14ac:dyDescent="0.25">
      <c r="A138" s="13">
        <v>44347</v>
      </c>
      <c r="B138" s="8">
        <f t="shared" si="18"/>
        <v>1.1725965177895534</v>
      </c>
      <c r="C138" s="8">
        <f t="shared" si="19"/>
        <v>1.2662444198057003</v>
      </c>
      <c r="D138" s="8">
        <f t="shared" si="20"/>
        <v>0.29736547085201792</v>
      </c>
      <c r="E138" s="8">
        <f t="shared" si="21"/>
        <v>1.7552904564315353</v>
      </c>
      <c r="F138" s="8">
        <f>PRODUCT($K$2:K138)-1</f>
        <v>1.4182723972182845</v>
      </c>
      <c r="G138" s="8">
        <f t="shared" si="22"/>
        <v>5.4364517795531286</v>
      </c>
      <c r="H138" s="8">
        <f t="shared" si="23"/>
        <v>3.9768162727140481</v>
      </c>
      <c r="I138" s="8">
        <f t="shared" si="24"/>
        <v>1.9933575775859311</v>
      </c>
      <c r="J138" s="8"/>
      <c r="K138" s="20">
        <f t="shared" si="25"/>
        <v>1.0046458333333332</v>
      </c>
      <c r="L138" s="2" t="s">
        <v>61</v>
      </c>
      <c r="M138" s="2">
        <v>57400000</v>
      </c>
      <c r="N138" s="2">
        <v>53088915.837445952</v>
      </c>
      <c r="O138" s="2">
        <v>23145</v>
      </c>
      <c r="P138" s="2">
        <v>1328.05</v>
      </c>
      <c r="Q138" s="3">
        <v>5.5749999999999993</v>
      </c>
      <c r="R138" s="2">
        <v>12558573</v>
      </c>
      <c r="S138" s="2">
        <v>9647847</v>
      </c>
      <c r="T138" s="2">
        <f t="shared" si="17"/>
        <v>8195134.4592275508</v>
      </c>
      <c r="U138" s="11">
        <f>IF(_xlfn.NUMBERVALUE(L138)&gt;0,L138,U137)</f>
        <v>1963757.6338710301</v>
      </c>
    </row>
    <row r="139" spans="1:22" x14ac:dyDescent="0.25">
      <c r="A139" s="13">
        <v>44377</v>
      </c>
      <c r="B139" s="8">
        <f t="shared" si="18"/>
        <v>1.1517789553368658</v>
      </c>
      <c r="C139" s="8">
        <f t="shared" si="19"/>
        <v>1.1080377924680525</v>
      </c>
      <c r="D139" s="8">
        <f t="shared" si="20"/>
        <v>0.29596412556053808</v>
      </c>
      <c r="E139" s="8">
        <f t="shared" si="21"/>
        <v>1.9223029045643152</v>
      </c>
      <c r="F139" s="8">
        <f>PRODUCT($K$2:K139)-1</f>
        <v>1.4295492716261462</v>
      </c>
      <c r="G139" s="8">
        <f t="shared" si="22"/>
        <v>5.4821322041612079</v>
      </c>
      <c r="H139" s="8">
        <f t="shared" si="23"/>
        <v>4.0475337854219475</v>
      </c>
      <c r="I139" s="8">
        <f t="shared" si="24"/>
        <v>2.07172899430291</v>
      </c>
      <c r="J139" s="8"/>
      <c r="K139" s="20">
        <f t="shared" si="25"/>
        <v>1.0046631944444444</v>
      </c>
      <c r="L139" s="2">
        <v>2039147.5376271401</v>
      </c>
      <c r="M139" s="2">
        <v>56850000</v>
      </c>
      <c r="N139" s="2">
        <v>49382776.177375801</v>
      </c>
      <c r="O139" s="2">
        <v>23120</v>
      </c>
      <c r="P139" s="2">
        <v>1408.55</v>
      </c>
      <c r="Q139" s="3">
        <v>5.5958333333333332</v>
      </c>
      <c r="R139" s="2">
        <v>12647703</v>
      </c>
      <c r="S139" s="2">
        <v>9784937</v>
      </c>
      <c r="T139" s="2">
        <f t="shared" si="17"/>
        <v>8409697.631554516</v>
      </c>
      <c r="U139" s="11">
        <f>IF(_xlfn.NUMBERVALUE(L139)&gt;0,L139,U138)</f>
        <v>2039147.5376271401</v>
      </c>
      <c r="V139" s="3">
        <v>6.6</v>
      </c>
    </row>
    <row r="140" spans="1:22" x14ac:dyDescent="0.25">
      <c r="A140" s="13">
        <v>44408</v>
      </c>
      <c r="B140" s="8">
        <f t="shared" si="18"/>
        <v>1.1669190007570021</v>
      </c>
      <c r="C140" s="8">
        <f t="shared" si="19"/>
        <v>1.1502937703035263</v>
      </c>
      <c r="D140" s="8">
        <f t="shared" si="20"/>
        <v>0.29204035874439471</v>
      </c>
      <c r="E140" s="8">
        <f t="shared" si="21"/>
        <v>1.7179460580912864</v>
      </c>
      <c r="F140" s="8">
        <f>PRODUCT($K$2:K140)-1</f>
        <v>1.4408414509020644</v>
      </c>
      <c r="G140" s="8">
        <f t="shared" si="22"/>
        <v>5.5049662662902756</v>
      </c>
      <c r="H140" s="8">
        <f t="shared" si="23"/>
        <v>4.0701769046889495</v>
      </c>
      <c r="I140" s="8">
        <f t="shared" si="24"/>
        <v>2.07172899430291</v>
      </c>
      <c r="J140" s="8"/>
      <c r="K140" s="20">
        <f t="shared" si="25"/>
        <v>1.0046478494623656</v>
      </c>
      <c r="L140" s="2" t="s">
        <v>61</v>
      </c>
      <c r="M140" s="2">
        <v>57250000</v>
      </c>
      <c r="N140" s="2">
        <v>50372662.365878277</v>
      </c>
      <c r="O140" s="2">
        <v>23050</v>
      </c>
      <c r="P140" s="2">
        <v>1310.05</v>
      </c>
      <c r="Q140" s="3">
        <v>5.5774193548387094</v>
      </c>
      <c r="R140" s="2">
        <v>12692256</v>
      </c>
      <c r="S140" s="2">
        <v>9828832</v>
      </c>
      <c r="T140" s="2">
        <f t="shared" si="17"/>
        <v>8409697.631554516</v>
      </c>
      <c r="U140" s="11">
        <f>IF(_xlfn.NUMBERVALUE(L140)&gt;0,L140,U139)</f>
        <v>2039147.5376271401</v>
      </c>
    </row>
    <row r="141" spans="1:22" x14ac:dyDescent="0.25">
      <c r="A141" s="13">
        <v>44439</v>
      </c>
      <c r="B141" s="8">
        <f t="shared" si="18"/>
        <v>1.1725965177895534</v>
      </c>
      <c r="C141" s="8">
        <f t="shared" si="19"/>
        <v>1.1399756059785378</v>
      </c>
      <c r="D141" s="8">
        <f t="shared" si="20"/>
        <v>0.28195067264573992</v>
      </c>
      <c r="E141" s="8">
        <f t="shared" si="21"/>
        <v>1.7623858921161828</v>
      </c>
      <c r="F141" s="8">
        <f>PRODUCT($K$2:K141)-1</f>
        <v>1.4521811934760467</v>
      </c>
      <c r="G141" s="8">
        <f t="shared" si="22"/>
        <v>5.5384806197736323</v>
      </c>
      <c r="H141" s="8">
        <f t="shared" si="23"/>
        <v>4.0952011753065936</v>
      </c>
      <c r="I141" s="8">
        <f t="shared" si="24"/>
        <v>2.07172899430291</v>
      </c>
      <c r="J141" s="8"/>
      <c r="K141" s="20">
        <f t="shared" si="25"/>
        <v>1.0046458333333332</v>
      </c>
      <c r="L141" s="2" t="s">
        <v>61</v>
      </c>
      <c r="M141" s="2">
        <v>57400000</v>
      </c>
      <c r="N141" s="2">
        <v>50130949.621807523</v>
      </c>
      <c r="O141" s="2">
        <v>22870</v>
      </c>
      <c r="P141" s="2">
        <v>1331.47</v>
      </c>
      <c r="Q141" s="3">
        <v>5.5749999999999993</v>
      </c>
      <c r="R141" s="2">
        <v>12757648</v>
      </c>
      <c r="S141" s="2">
        <v>9877343</v>
      </c>
      <c r="T141" s="2">
        <f t="shared" si="17"/>
        <v>8409697.631554516</v>
      </c>
      <c r="U141" s="11">
        <f>IF(_xlfn.NUMBERVALUE(L141)&gt;0,L141,U140)</f>
        <v>2039147.5376271401</v>
      </c>
    </row>
    <row r="142" spans="1:22" x14ac:dyDescent="0.25">
      <c r="A142" s="13">
        <v>44469</v>
      </c>
      <c r="B142" s="8">
        <f t="shared" si="18"/>
        <v>1.1517789553368658</v>
      </c>
      <c r="C142" s="8">
        <f t="shared" si="19"/>
        <v>1.0671542502888429</v>
      </c>
      <c r="D142" s="8">
        <f t="shared" si="20"/>
        <v>0.28139013452914807</v>
      </c>
      <c r="E142" s="8">
        <f t="shared" si="21"/>
        <v>1.7843568464730288</v>
      </c>
      <c r="F142" s="8">
        <f>PRODUCT($K$2:K142)-1</f>
        <v>1.4634850676165283</v>
      </c>
      <c r="G142" s="8">
        <f t="shared" si="22"/>
        <v>5.6007214155242719</v>
      </c>
      <c r="H142" s="8">
        <f t="shared" si="23"/>
        <v>4.1156746406349463</v>
      </c>
      <c r="I142" s="8">
        <f t="shared" si="24"/>
        <v>2.0434304943381112</v>
      </c>
      <c r="J142" s="8"/>
      <c r="K142" s="20">
        <f t="shared" si="25"/>
        <v>1.0046097222222221</v>
      </c>
      <c r="L142" s="2">
        <v>1996696.28054696</v>
      </c>
      <c r="M142" s="2">
        <v>56850000</v>
      </c>
      <c r="N142" s="2">
        <v>48425040.590287268</v>
      </c>
      <c r="O142" s="2">
        <v>22860</v>
      </c>
      <c r="P142" s="2">
        <v>1342.06</v>
      </c>
      <c r="Q142" s="3">
        <v>5.5316666666666672</v>
      </c>
      <c r="R142" s="2">
        <v>12879090</v>
      </c>
      <c r="S142" s="2">
        <v>9917032</v>
      </c>
      <c r="T142" s="2">
        <f t="shared" ref="T142:T203" si="26">U142+U139+U136+U133</f>
        <v>8332222.7538644932</v>
      </c>
      <c r="U142" s="11">
        <f>IF(_xlfn.NUMBERVALUE(L142)&gt;0,L142,U141)</f>
        <v>1996696.28054696</v>
      </c>
      <c r="V142" s="3">
        <v>-6.2</v>
      </c>
    </row>
    <row r="143" spans="1:22" x14ac:dyDescent="0.25">
      <c r="A143" s="13">
        <v>44500</v>
      </c>
      <c r="B143" s="8">
        <f t="shared" si="18"/>
        <v>1.2123391370174113</v>
      </c>
      <c r="C143" s="8">
        <f t="shared" si="19"/>
        <v>1.0978846873771753</v>
      </c>
      <c r="D143" s="8">
        <f t="shared" si="20"/>
        <v>0.280829596412556</v>
      </c>
      <c r="E143" s="8">
        <f t="shared" si="21"/>
        <v>1.9964107883817426</v>
      </c>
      <c r="F143" s="8">
        <f>PRODUCT($K$2:K143)-1</f>
        <v>1.4748273634486795</v>
      </c>
      <c r="G143" s="8">
        <f t="shared" si="22"/>
        <v>5.6153162932485428</v>
      </c>
      <c r="H143" s="8">
        <f t="shared" si="23"/>
        <v>4.1575320418579169</v>
      </c>
      <c r="I143" s="8">
        <f t="shared" si="24"/>
        <v>2.0434304943381112</v>
      </c>
      <c r="J143" s="8"/>
      <c r="K143" s="20">
        <f t="shared" si="25"/>
        <v>1.0046041666666667</v>
      </c>
      <c r="L143" s="2" t="s">
        <v>61</v>
      </c>
      <c r="M143" s="2">
        <v>58450000</v>
      </c>
      <c r="N143" s="2">
        <v>49144930.101750597</v>
      </c>
      <c r="O143" s="2">
        <v>22850</v>
      </c>
      <c r="P143" s="2">
        <v>1444.27</v>
      </c>
      <c r="Q143" s="3">
        <v>5.5250000000000004</v>
      </c>
      <c r="R143" s="2">
        <v>12907567</v>
      </c>
      <c r="S143" s="2">
        <v>9998175</v>
      </c>
      <c r="T143" s="2">
        <f t="shared" si="26"/>
        <v>8332222.7538644932</v>
      </c>
      <c r="U143" s="11">
        <f>IF(_xlfn.NUMBERVALUE(L143)&gt;0,L143,U142)</f>
        <v>1996696.28054696</v>
      </c>
    </row>
    <row r="144" spans="1:22" x14ac:dyDescent="0.25">
      <c r="A144" s="13">
        <v>44530</v>
      </c>
      <c r="B144" s="8">
        <f t="shared" si="18"/>
        <v>1.2975018925056774</v>
      </c>
      <c r="C144" s="8">
        <f t="shared" si="19"/>
        <v>1.0812076726180697</v>
      </c>
      <c r="D144" s="8">
        <f t="shared" si="20"/>
        <v>0.27802690582959633</v>
      </c>
      <c r="E144" s="8">
        <f t="shared" si="21"/>
        <v>2.0673029045643156</v>
      </c>
      <c r="F144" s="8">
        <f>PRODUCT($K$2:K144)-1</f>
        <v>1.4862218811012244</v>
      </c>
      <c r="G144" s="8">
        <f t="shared" si="22"/>
        <v>5.6836216740366261</v>
      </c>
      <c r="H144" s="8">
        <f t="shared" si="23"/>
        <v>4.2543215111438499</v>
      </c>
      <c r="I144" s="8">
        <f t="shared" si="24"/>
        <v>2.0434304943381112</v>
      </c>
      <c r="J144" s="8"/>
      <c r="K144" s="20">
        <f t="shared" si="25"/>
        <v>1.0046041666666667</v>
      </c>
      <c r="L144" s="2" t="s">
        <v>61</v>
      </c>
      <c r="M144" s="2">
        <v>60700000</v>
      </c>
      <c r="N144" s="2">
        <v>48754255.280787587</v>
      </c>
      <c r="O144" s="2">
        <v>22800</v>
      </c>
      <c r="P144" s="2">
        <v>1478.44</v>
      </c>
      <c r="Q144" s="3">
        <v>5.5250000000000004</v>
      </c>
      <c r="R144" s="2">
        <v>13040842</v>
      </c>
      <c r="S144" s="2">
        <v>10185807</v>
      </c>
      <c r="T144" s="2">
        <f t="shared" si="26"/>
        <v>8332222.7538644932</v>
      </c>
      <c r="U144" s="11">
        <f>IF(_xlfn.NUMBERVALUE(L144)&gt;0,L144,U143)</f>
        <v>1996696.28054696</v>
      </c>
    </row>
    <row r="145" spans="1:22" x14ac:dyDescent="0.25">
      <c r="A145" s="13">
        <v>44561</v>
      </c>
      <c r="B145" s="8">
        <f t="shared" si="18"/>
        <v>1.3334595003785013</v>
      </c>
      <c r="C145" s="8">
        <f t="shared" si="19"/>
        <v>1.1570401062943256</v>
      </c>
      <c r="D145" s="8">
        <f t="shared" si="20"/>
        <v>0.2847533632286996</v>
      </c>
      <c r="E145" s="8">
        <f t="shared" si="21"/>
        <v>2.1084647302904562</v>
      </c>
      <c r="F145" s="8">
        <f>PRODUCT($K$2:K145)-1</f>
        <v>1.4976688610121283</v>
      </c>
      <c r="G145" s="8">
        <f t="shared" si="22"/>
        <v>5.8687701290101701</v>
      </c>
      <c r="H145" s="8">
        <f t="shared" si="23"/>
        <v>4.3875499211269409</v>
      </c>
      <c r="I145" s="8">
        <f t="shared" si="24"/>
        <v>2.0676777416076892</v>
      </c>
      <c r="J145" s="8"/>
      <c r="K145" s="20">
        <f t="shared" si="25"/>
        <v>1.0046041666666667</v>
      </c>
      <c r="L145" s="2">
        <v>2399004.7680407902</v>
      </c>
      <c r="M145" s="2">
        <v>61650000</v>
      </c>
      <c r="N145" s="2">
        <v>50530701.657887816</v>
      </c>
      <c r="O145" s="2">
        <v>22920</v>
      </c>
      <c r="P145" s="2">
        <v>1498.28</v>
      </c>
      <c r="Q145" s="3">
        <v>5.5250000000000004</v>
      </c>
      <c r="R145" s="2">
        <v>13402097</v>
      </c>
      <c r="S145" s="2">
        <v>10444078</v>
      </c>
      <c r="T145" s="2">
        <f t="shared" si="26"/>
        <v>8398606.2200859208</v>
      </c>
      <c r="U145" s="11">
        <f>IF(_xlfn.NUMBERVALUE(L145)&gt;0,L145,U144)</f>
        <v>2399004.7680407902</v>
      </c>
      <c r="V145" s="3">
        <v>5.2</v>
      </c>
    </row>
    <row r="146" spans="1:22" x14ac:dyDescent="0.25">
      <c r="A146" s="13">
        <v>44592</v>
      </c>
      <c r="B146" s="8">
        <f t="shared" si="18"/>
        <v>1.3656320968962907</v>
      </c>
      <c r="C146" s="8">
        <f t="shared" si="19"/>
        <v>1.1044716026466763</v>
      </c>
      <c r="D146" s="8">
        <f t="shared" si="20"/>
        <v>0.27690582959641263</v>
      </c>
      <c r="E146" s="8">
        <f t="shared" si="21"/>
        <v>2.0683817427385893</v>
      </c>
      <c r="F146" s="8">
        <f>PRODUCT($K$2:K146)-1</f>
        <v>1.5091685447263719</v>
      </c>
      <c r="G146" s="8">
        <f t="shared" si="22"/>
        <v>6.04642972092556</v>
      </c>
      <c r="H146" s="8">
        <f t="shared" si="23"/>
        <v>4.5215159928152779</v>
      </c>
      <c r="I146" s="8">
        <f t="shared" si="24"/>
        <v>2.0676777416076892</v>
      </c>
      <c r="J146" s="8"/>
      <c r="K146" s="20">
        <f t="shared" si="25"/>
        <v>1.0046041666666667</v>
      </c>
      <c r="L146" s="2" t="s">
        <v>61</v>
      </c>
      <c r="M146" s="2">
        <v>62500000</v>
      </c>
      <c r="N146" s="2">
        <v>49299234.812802419</v>
      </c>
      <c r="O146" s="2">
        <v>22780</v>
      </c>
      <c r="P146" s="2">
        <v>1478.96</v>
      </c>
      <c r="Q146" s="3">
        <v>5.5250000000000004</v>
      </c>
      <c r="R146" s="2">
        <v>13748740</v>
      </c>
      <c r="S146" s="2">
        <v>10703779</v>
      </c>
      <c r="T146" s="2">
        <f t="shared" si="26"/>
        <v>8398606.2200859208</v>
      </c>
      <c r="U146" s="11">
        <f>IF(_xlfn.NUMBERVALUE(L146)&gt;0,L146,U145)</f>
        <v>2399004.7680407902</v>
      </c>
    </row>
    <row r="147" spans="1:22" x14ac:dyDescent="0.25">
      <c r="A147" s="13">
        <v>44620</v>
      </c>
      <c r="B147" s="8">
        <f t="shared" si="18"/>
        <v>1.496214988644966</v>
      </c>
      <c r="C147" s="8">
        <f t="shared" si="19"/>
        <v>1.2450248400327331</v>
      </c>
      <c r="D147" s="8">
        <f t="shared" si="20"/>
        <v>0.28643497757847536</v>
      </c>
      <c r="E147" s="8">
        <f t="shared" si="21"/>
        <v>2.0915560165975107</v>
      </c>
      <c r="F147" s="8">
        <f>PRODUCT($K$2:K147)-1</f>
        <v>1.5207211749010496</v>
      </c>
      <c r="G147" s="8">
        <f t="shared" si="22"/>
        <v>5.9931333296432285</v>
      </c>
      <c r="H147" s="8">
        <f t="shared" si="23"/>
        <v>4.5304355092806095</v>
      </c>
      <c r="I147" s="8">
        <f t="shared" si="24"/>
        <v>2.0676777416076892</v>
      </c>
      <c r="J147" s="8"/>
      <c r="K147" s="20">
        <f t="shared" si="25"/>
        <v>1.0046041666666667</v>
      </c>
      <c r="L147" s="2" t="s">
        <v>61</v>
      </c>
      <c r="M147" s="2">
        <v>65950000</v>
      </c>
      <c r="N147" s="2">
        <v>52591827.140910029</v>
      </c>
      <c r="O147" s="2">
        <v>22950</v>
      </c>
      <c r="P147" s="2">
        <v>1490.13</v>
      </c>
      <c r="Q147" s="3">
        <v>5.5250000000000004</v>
      </c>
      <c r="R147" s="2">
        <v>13644750</v>
      </c>
      <c r="S147" s="2">
        <v>10721070</v>
      </c>
      <c r="T147" s="2">
        <f t="shared" si="26"/>
        <v>8398606.2200859208</v>
      </c>
      <c r="U147" s="11">
        <f>IF(_xlfn.NUMBERVALUE(L147)&gt;0,L147,U146)</f>
        <v>2399004.7680407902</v>
      </c>
    </row>
    <row r="148" spans="1:22" x14ac:dyDescent="0.25">
      <c r="A148" s="13">
        <v>44651</v>
      </c>
      <c r="B148" s="8">
        <f t="shared" si="18"/>
        <v>1.6059803179409537</v>
      </c>
      <c r="C148" s="8">
        <f t="shared" si="19"/>
        <v>1.3053205059144402</v>
      </c>
      <c r="D148" s="8">
        <f t="shared" si="20"/>
        <v>0.28811659192825112</v>
      </c>
      <c r="E148" s="8">
        <f t="shared" si="21"/>
        <v>2.0957468879668051</v>
      </c>
      <c r="F148" s="8">
        <f>PRODUCT($K$2:K148)-1</f>
        <v>1.532284644484299</v>
      </c>
      <c r="G148" s="8">
        <f t="shared" si="22"/>
        <v>6.105533414925655</v>
      </c>
      <c r="H148" s="8">
        <f t="shared" si="23"/>
        <v>4.7090930371956894</v>
      </c>
      <c r="I148" s="8">
        <f t="shared" si="24"/>
        <v>2.1311071592281525</v>
      </c>
      <c r="J148" s="8"/>
      <c r="K148" s="20">
        <f t="shared" si="25"/>
        <v>1.0045873655913979</v>
      </c>
      <c r="L148" s="2">
        <v>2137412.9999931799</v>
      </c>
      <c r="M148" s="2">
        <v>68850000</v>
      </c>
      <c r="N148" s="2">
        <v>54004310.059072562</v>
      </c>
      <c r="O148" s="2">
        <v>22980</v>
      </c>
      <c r="P148" s="2">
        <v>1492.15</v>
      </c>
      <c r="Q148" s="3">
        <v>5.5048387096774194</v>
      </c>
      <c r="R148" s="2">
        <v>13864061</v>
      </c>
      <c r="S148" s="2">
        <v>11067407.98</v>
      </c>
      <c r="T148" s="2">
        <f t="shared" si="26"/>
        <v>8572261.5862080697</v>
      </c>
      <c r="U148" s="11">
        <f>IF(_xlfn.NUMBERVALUE(L148)&gt;0,L148,U147)</f>
        <v>2137412.9999931799</v>
      </c>
      <c r="V148" s="3">
        <v>5</v>
      </c>
    </row>
    <row r="149" spans="1:22" x14ac:dyDescent="0.25">
      <c r="A149" s="13">
        <v>44681</v>
      </c>
      <c r="B149" s="8">
        <f t="shared" si="18"/>
        <v>1.6627554882664648</v>
      </c>
      <c r="C149" s="8">
        <f t="shared" si="19"/>
        <v>1.2722839077237236</v>
      </c>
      <c r="D149" s="8">
        <f t="shared" si="20"/>
        <v>0.29456278026905824</v>
      </c>
      <c r="E149" s="8">
        <f t="shared" si="21"/>
        <v>1.8356846473029043</v>
      </c>
      <c r="F149" s="8">
        <f>PRODUCT($K$2:K149)-1</f>
        <v>1.5436799253844784</v>
      </c>
      <c r="G149" s="8">
        <f t="shared" si="22"/>
        <v>6.1094746520538505</v>
      </c>
      <c r="H149" s="8">
        <f t="shared" si="23"/>
        <v>4.7769680401618109</v>
      </c>
      <c r="I149" s="8">
        <f t="shared" si="24"/>
        <v>2.1311071592281525</v>
      </c>
      <c r="J149" s="8"/>
      <c r="K149" s="20">
        <f t="shared" si="25"/>
        <v>1.0044999999999999</v>
      </c>
      <c r="L149" s="2" t="s">
        <v>61</v>
      </c>
      <c r="M149" s="2">
        <v>70350000</v>
      </c>
      <c r="N149" s="2">
        <v>53230396.545783982</v>
      </c>
      <c r="O149" s="2">
        <v>23095</v>
      </c>
      <c r="P149" s="2">
        <v>1366.8</v>
      </c>
      <c r="Q149" s="3">
        <v>5.4</v>
      </c>
      <c r="R149" s="2">
        <v>13871751</v>
      </c>
      <c r="S149" s="2">
        <v>11198987.609999999</v>
      </c>
      <c r="T149" s="2">
        <f t="shared" si="26"/>
        <v>8572261.5862080697</v>
      </c>
      <c r="U149" s="11">
        <f>IF(_xlfn.NUMBERVALUE(L149)&gt;0,L149,U148)</f>
        <v>2137412.9999931799</v>
      </c>
    </row>
    <row r="150" spans="1:22" x14ac:dyDescent="0.25">
      <c r="A150" s="13">
        <v>44712</v>
      </c>
      <c r="B150" s="8">
        <f t="shared" si="18"/>
        <v>1.623012869038607</v>
      </c>
      <c r="C150" s="8">
        <f t="shared" si="19"/>
        <v>1.2125559427471817</v>
      </c>
      <c r="D150" s="8">
        <f t="shared" si="20"/>
        <v>0.30773542600896864</v>
      </c>
      <c r="E150" s="8">
        <f t="shared" si="21"/>
        <v>1.681908713692946</v>
      </c>
      <c r="F150" s="8">
        <f>PRODUCT($K$2:K150)-1</f>
        <v>1.5553914517076031</v>
      </c>
      <c r="G150" s="8">
        <f t="shared" si="22"/>
        <v>6.0974372220889688</v>
      </c>
      <c r="H150" s="8">
        <f t="shared" si="23"/>
        <v>4.8232094113253252</v>
      </c>
      <c r="I150" s="8">
        <f t="shared" si="24"/>
        <v>2.1311071592281525</v>
      </c>
      <c r="J150" s="8"/>
      <c r="K150" s="20">
        <f t="shared" si="25"/>
        <v>1.0046041666666667</v>
      </c>
      <c r="L150" s="2" t="s">
        <v>61</v>
      </c>
      <c r="M150" s="2">
        <v>69300000</v>
      </c>
      <c r="N150" s="2">
        <v>51831212.557477273</v>
      </c>
      <c r="O150" s="2">
        <v>23330</v>
      </c>
      <c r="P150" s="2">
        <v>1292.68</v>
      </c>
      <c r="Q150" s="3">
        <v>5.5250000000000004</v>
      </c>
      <c r="R150" s="2">
        <v>13848264</v>
      </c>
      <c r="S150" s="2">
        <v>11288629.189999999</v>
      </c>
      <c r="T150" s="2">
        <f t="shared" si="26"/>
        <v>8572261.5862080697</v>
      </c>
      <c r="U150" s="11">
        <f>IF(_xlfn.NUMBERVALUE(L150)&gt;0,L150,U149)</f>
        <v>2137412.9999931799</v>
      </c>
    </row>
    <row r="151" spans="1:22" x14ac:dyDescent="0.25">
      <c r="A151" s="13">
        <v>44742</v>
      </c>
      <c r="B151" s="8">
        <f t="shared" si="18"/>
        <v>1.5984102952308858</v>
      </c>
      <c r="C151" s="8">
        <f t="shared" si="19"/>
        <v>1.1779570928322176</v>
      </c>
      <c r="D151" s="8">
        <f t="shared" si="20"/>
        <v>0.3125</v>
      </c>
      <c r="E151" s="8">
        <f t="shared" si="21"/>
        <v>1.4846473029045639</v>
      </c>
      <c r="F151" s="8">
        <f>PRODUCT($K$2:K151)-1</f>
        <v>1.5672119117491481</v>
      </c>
      <c r="G151" s="8">
        <f t="shared" si="22"/>
        <v>6.1282260230303551</v>
      </c>
      <c r="H151" s="8">
        <f t="shared" si="23"/>
        <v>4.8954404407812406</v>
      </c>
      <c r="I151" s="8">
        <f t="shared" si="24"/>
        <v>2.2234686412069888</v>
      </c>
      <c r="J151" s="8"/>
      <c r="K151" s="20">
        <f t="shared" si="25"/>
        <v>1.0046256944444445</v>
      </c>
      <c r="L151" s="2">
        <v>2292012.33712113</v>
      </c>
      <c r="M151" s="2">
        <v>68650000</v>
      </c>
      <c r="N151" s="2">
        <v>51020701.822114743</v>
      </c>
      <c r="O151" s="2">
        <v>23415</v>
      </c>
      <c r="P151" s="2">
        <v>1197.5999999999999</v>
      </c>
      <c r="Q151" s="3">
        <v>5.5508333333333333</v>
      </c>
      <c r="R151" s="2">
        <v>13908338</v>
      </c>
      <c r="S151" s="2">
        <v>11428653.23</v>
      </c>
      <c r="T151" s="2">
        <f t="shared" si="26"/>
        <v>8825126.3857020605</v>
      </c>
      <c r="U151" s="11">
        <f>IF(_xlfn.NUMBERVALUE(L151)&gt;0,L151,U150)</f>
        <v>2292012.33712113</v>
      </c>
      <c r="V151" s="3">
        <v>7.7</v>
      </c>
    </row>
    <row r="152" spans="1:22" x14ac:dyDescent="0.25">
      <c r="A152" s="13">
        <v>44773</v>
      </c>
      <c r="B152" s="8">
        <f t="shared" si="18"/>
        <v>1.5397426192278578</v>
      </c>
      <c r="C152" s="8">
        <f t="shared" si="19"/>
        <v>1.1303485922458658</v>
      </c>
      <c r="D152" s="8">
        <f t="shared" si="20"/>
        <v>0.31614349775784745</v>
      </c>
      <c r="E152" s="8">
        <f t="shared" si="21"/>
        <v>1.5027593360995848</v>
      </c>
      <c r="F152" s="8">
        <f>PRODUCT($K$2:K152)-1</f>
        <v>1.579140475699305</v>
      </c>
      <c r="G152" s="8">
        <f t="shared" si="22"/>
        <v>6.0870741772603427</v>
      </c>
      <c r="H152" s="8">
        <f t="shared" si="23"/>
        <v>4.9016648560424807</v>
      </c>
      <c r="I152" s="8">
        <f t="shared" si="24"/>
        <v>2.2234686412069888</v>
      </c>
      <c r="J152" s="8"/>
      <c r="K152" s="20">
        <f>1+Q152%/12</f>
        <v>1.004646505376344</v>
      </c>
      <c r="L152" s="2" t="s">
        <v>61</v>
      </c>
      <c r="M152" s="2">
        <v>67100000</v>
      </c>
      <c r="N152" s="2">
        <v>49905427.733103409</v>
      </c>
      <c r="O152" s="2">
        <v>23480</v>
      </c>
      <c r="P152" s="2">
        <v>1206.33</v>
      </c>
      <c r="Q152" s="3">
        <v>5.5758064516129018</v>
      </c>
      <c r="R152" s="2">
        <v>13828044</v>
      </c>
      <c r="S152" s="2">
        <v>11440719.619999999</v>
      </c>
      <c r="T152" s="2">
        <f t="shared" si="26"/>
        <v>8825126.3857020605</v>
      </c>
      <c r="U152" s="11">
        <f>IF(_xlfn.NUMBERVALUE(L152)&gt;0,L152,U151)</f>
        <v>2292012.33712113</v>
      </c>
    </row>
    <row r="153" spans="1:22" x14ac:dyDescent="0.25">
      <c r="A153" s="13">
        <v>44804</v>
      </c>
      <c r="B153" s="8">
        <f t="shared" si="18"/>
        <v>1.5227100681302046</v>
      </c>
      <c r="C153" s="8">
        <f t="shared" si="19"/>
        <v>1.0966599532517272</v>
      </c>
      <c r="D153" s="8">
        <f t="shared" si="20"/>
        <v>0.32286995515695072</v>
      </c>
      <c r="E153" s="8">
        <f t="shared" si="21"/>
        <v>1.6566597510373442</v>
      </c>
      <c r="F153" s="8">
        <f>PRODUCT($K$2:K153)-1</f>
        <v>1.5911764645859017</v>
      </c>
      <c r="G153" s="8">
        <f t="shared" si="22"/>
        <v>6.0527228874661487</v>
      </c>
      <c r="H153" s="8">
        <f t="shared" si="23"/>
        <v>4.9246635540437786</v>
      </c>
      <c r="I153" s="8">
        <f t="shared" si="24"/>
        <v>2.2234686412069888</v>
      </c>
      <c r="J153" s="8"/>
      <c r="K153" s="20">
        <f t="shared" si="25"/>
        <v>1.0046666666666666</v>
      </c>
      <c r="L153" s="2" t="s">
        <v>61</v>
      </c>
      <c r="M153" s="2">
        <v>66650000</v>
      </c>
      <c r="N153" s="2">
        <v>49116239.548189417</v>
      </c>
      <c r="O153" s="2">
        <v>23600</v>
      </c>
      <c r="P153" s="2">
        <v>1280.51</v>
      </c>
      <c r="Q153" s="3">
        <v>5.6</v>
      </c>
      <c r="R153" s="2">
        <v>13761019</v>
      </c>
      <c r="S153" s="2">
        <v>11485303.93</v>
      </c>
      <c r="T153" s="2">
        <f t="shared" si="26"/>
        <v>8825126.3857020605</v>
      </c>
      <c r="U153" s="11">
        <f>IF(_xlfn.NUMBERVALUE(L153)&gt;0,L153,U152)</f>
        <v>2292012.33712113</v>
      </c>
    </row>
    <row r="154" spans="1:22" x14ac:dyDescent="0.25">
      <c r="A154" s="13">
        <v>44834</v>
      </c>
      <c r="B154" s="8">
        <f t="shared" si="18"/>
        <v>1.5132475397426193</v>
      </c>
      <c r="C154" s="8">
        <f t="shared" si="19"/>
        <v>1.066109479707853</v>
      </c>
      <c r="D154" s="8">
        <f t="shared" si="20"/>
        <v>0.34585201793721976</v>
      </c>
      <c r="E154" s="8">
        <f t="shared" si="21"/>
        <v>1.3487759336099585</v>
      </c>
      <c r="F154" s="8">
        <f>PRODUCT($K$2:K154)-1</f>
        <v>1.6032686214206358</v>
      </c>
      <c r="G154" s="8">
        <f t="shared" si="22"/>
        <v>6.0893051532316091</v>
      </c>
      <c r="H154" s="8">
        <f t="shared" si="23"/>
        <v>4.9824417530968894</v>
      </c>
      <c r="I154" s="8">
        <f t="shared" si="24"/>
        <v>2.3628534736390483</v>
      </c>
      <c r="J154" s="8"/>
      <c r="K154" s="20">
        <f t="shared" si="25"/>
        <v>1.0046666666666666</v>
      </c>
      <c r="L154" s="2">
        <v>2378300.3534819591</v>
      </c>
      <c r="M154" s="2">
        <v>66400000</v>
      </c>
      <c r="N154" s="2">
        <v>48400565.852717541</v>
      </c>
      <c r="O154" s="2">
        <v>24010</v>
      </c>
      <c r="P154" s="2">
        <v>1132.1099999999999</v>
      </c>
      <c r="Q154" s="3">
        <v>5.6</v>
      </c>
      <c r="R154" s="2">
        <v>13832397</v>
      </c>
      <c r="S154" s="2">
        <v>11597310.32</v>
      </c>
      <c r="T154" s="2">
        <f t="shared" si="26"/>
        <v>9206730.4586370587</v>
      </c>
      <c r="U154" s="11">
        <f>IF(_xlfn.NUMBERVALUE(L154)&gt;0,L154,U153)</f>
        <v>2378300.3534819591</v>
      </c>
      <c r="V154" s="3">
        <v>13.7</v>
      </c>
    </row>
    <row r="155" spans="1:22" x14ac:dyDescent="0.25">
      <c r="A155" s="13">
        <v>44865</v>
      </c>
      <c r="B155" s="8">
        <f t="shared" si="18"/>
        <v>1.5359576078728234</v>
      </c>
      <c r="C155" s="8">
        <f t="shared" si="19"/>
        <v>1.1008109985420598</v>
      </c>
      <c r="D155" s="8">
        <f t="shared" si="20"/>
        <v>0.39456278026905833</v>
      </c>
      <c r="E155" s="8">
        <f t="shared" si="21"/>
        <v>1.1326556016597511</v>
      </c>
      <c r="F155" s="8">
        <f>PRODUCT($K$2:K155)-1</f>
        <v>1.6171667168027364</v>
      </c>
      <c r="G155" s="8">
        <f t="shared" si="22"/>
        <v>6.0804632516795101</v>
      </c>
      <c r="H155" s="8">
        <f t="shared" si="23"/>
        <v>5.0132360290483957</v>
      </c>
      <c r="I155" s="8">
        <f t="shared" si="24"/>
        <v>2.3628534736390483</v>
      </c>
      <c r="J155" s="8"/>
      <c r="K155" s="20">
        <f t="shared" si="25"/>
        <v>1.0053387096774193</v>
      </c>
      <c r="L155" s="2" t="s">
        <v>61</v>
      </c>
      <c r="M155" s="2">
        <v>67000000</v>
      </c>
      <c r="N155" s="2">
        <v>49213481.704476677</v>
      </c>
      <c r="O155" s="2">
        <v>24879</v>
      </c>
      <c r="P155" s="2">
        <v>1027.94</v>
      </c>
      <c r="Q155" s="3">
        <v>6.4064516129032274</v>
      </c>
      <c r="R155" s="2">
        <v>13815145</v>
      </c>
      <c r="S155" s="2">
        <v>11657006.810000001</v>
      </c>
      <c r="T155" s="2">
        <f t="shared" si="26"/>
        <v>9206730.4586370587</v>
      </c>
      <c r="U155" s="11">
        <f>IF(_xlfn.NUMBERVALUE(L155)&gt;0,L155,U154)</f>
        <v>2378300.3534819591</v>
      </c>
    </row>
    <row r="156" spans="1:22" x14ac:dyDescent="0.25">
      <c r="A156" s="13">
        <v>44895</v>
      </c>
      <c r="B156" s="8">
        <f t="shared" si="18"/>
        <v>1.5473126419379257</v>
      </c>
      <c r="C156" s="8">
        <f t="shared" si="19"/>
        <v>1.2285419691290365</v>
      </c>
      <c r="D156" s="8">
        <f t="shared" si="20"/>
        <v>0.39013452914798208</v>
      </c>
      <c r="E156" s="8">
        <f t="shared" si="21"/>
        <v>1.1751452282157677</v>
      </c>
      <c r="F156" s="8">
        <f>PRODUCT($K$2:K156)-1</f>
        <v>1.6333059115563531</v>
      </c>
      <c r="G156" s="8">
        <f t="shared" si="22"/>
        <v>6.1129351505050318</v>
      </c>
      <c r="H156" s="8">
        <f t="shared" si="23"/>
        <v>5.0341844556624054</v>
      </c>
      <c r="I156" s="8">
        <f t="shared" si="24"/>
        <v>2.3628534736390483</v>
      </c>
      <c r="J156" s="8"/>
      <c r="K156" s="20">
        <f t="shared" si="25"/>
        <v>1.0061666666666667</v>
      </c>
      <c r="L156" s="2" t="s">
        <v>61</v>
      </c>
      <c r="M156" s="2">
        <v>67300000</v>
      </c>
      <c r="N156" s="2">
        <v>52205700.323114768</v>
      </c>
      <c r="O156" s="2">
        <v>24800</v>
      </c>
      <c r="P156" s="2">
        <v>1048.42</v>
      </c>
      <c r="Q156" s="3">
        <v>7.4</v>
      </c>
      <c r="R156" s="2">
        <v>13878503</v>
      </c>
      <c r="S156" s="2">
        <v>11697616.550000001</v>
      </c>
      <c r="T156" s="2">
        <f t="shared" si="26"/>
        <v>9206730.4586370587</v>
      </c>
      <c r="U156" s="11">
        <f>IF(_xlfn.NUMBERVALUE(L156)&gt;0,L156,U155)</f>
        <v>2378300.3534819591</v>
      </c>
    </row>
    <row r="157" spans="1:22" x14ac:dyDescent="0.25">
      <c r="A157" s="13">
        <v>44926</v>
      </c>
      <c r="B157" s="8">
        <f t="shared" si="18"/>
        <v>1.5359576078728234</v>
      </c>
      <c r="C157" s="8">
        <f t="shared" si="19"/>
        <v>1.2303394295598222</v>
      </c>
      <c r="D157" s="8">
        <f t="shared" si="20"/>
        <v>0.33015695067264583</v>
      </c>
      <c r="E157" s="8">
        <f t="shared" si="21"/>
        <v>1.0893983402489629</v>
      </c>
      <c r="F157" s="8">
        <f>PRODUCT($K$2:K157)-1</f>
        <v>1.6495446313442841</v>
      </c>
      <c r="G157" s="8">
        <f t="shared" si="22"/>
        <v>6.2914383414208137</v>
      </c>
      <c r="H157" s="8">
        <f t="shared" si="23"/>
        <v>5.1511874341649824</v>
      </c>
      <c r="I157" s="8">
        <f t="shared" si="24"/>
        <v>2.4615198599909651</v>
      </c>
      <c r="J157" s="8"/>
      <c r="K157" s="20">
        <f t="shared" si="25"/>
        <v>1.0061666666666667</v>
      </c>
      <c r="L157" s="2">
        <v>2669130.9663990075</v>
      </c>
      <c r="M157" s="2">
        <v>67000000</v>
      </c>
      <c r="N157" s="2">
        <v>52247807.531276941</v>
      </c>
      <c r="O157" s="2">
        <v>23730</v>
      </c>
      <c r="P157" s="2">
        <v>1007.09</v>
      </c>
      <c r="Q157" s="3">
        <v>7.4</v>
      </c>
      <c r="R157" s="2">
        <v>14226792</v>
      </c>
      <c r="S157" s="2">
        <v>11924433.609999999</v>
      </c>
      <c r="T157" s="2">
        <f t="shared" si="26"/>
        <v>9476856.656995276</v>
      </c>
      <c r="U157" s="11">
        <f>IF(_xlfn.NUMBERVALUE(L157)&gt;0,L157,U156)</f>
        <v>2669130.9663990075</v>
      </c>
      <c r="V157" s="3">
        <v>5.9</v>
      </c>
    </row>
    <row r="158" spans="1:22" x14ac:dyDescent="0.25">
      <c r="A158" s="13">
        <v>44957</v>
      </c>
      <c r="B158" s="8">
        <f t="shared" si="18"/>
        <v>1.558667676003028</v>
      </c>
      <c r="C158" s="8">
        <f t="shared" si="19"/>
        <v>1.3455763461470069</v>
      </c>
      <c r="D158" s="8">
        <f t="shared" si="20"/>
        <v>0.32399103139013463</v>
      </c>
      <c r="E158" s="8">
        <f t="shared" si="21"/>
        <v>1.3053526970954357</v>
      </c>
      <c r="F158" s="8">
        <f>PRODUCT($K$2:K158)-1</f>
        <v>1.6658834899042403</v>
      </c>
      <c r="G158" s="8">
        <f t="shared" si="22"/>
        <v>6.3492038598498128</v>
      </c>
      <c r="H158" s="8">
        <f t="shared" si="23"/>
        <v>5.1574816899984421</v>
      </c>
      <c r="I158" s="8">
        <f t="shared" si="24"/>
        <v>2.4615198599909651</v>
      </c>
      <c r="J158" s="8"/>
      <c r="K158" s="20">
        <f t="shared" si="25"/>
        <v>1.0061666666666667</v>
      </c>
      <c r="L158" s="2" t="s">
        <v>61</v>
      </c>
      <c r="M158" s="2">
        <v>67600000</v>
      </c>
      <c r="N158" s="2">
        <v>54947341.135242023</v>
      </c>
      <c r="O158" s="2">
        <v>23620</v>
      </c>
      <c r="P158" s="2">
        <v>1111.18</v>
      </c>
      <c r="Q158" s="3">
        <v>7.4</v>
      </c>
      <c r="R158" s="2">
        <v>14339502</v>
      </c>
      <c r="S158" s="2">
        <v>11936635.390000001</v>
      </c>
      <c r="T158" s="2">
        <f t="shared" si="26"/>
        <v>9476856.656995276</v>
      </c>
      <c r="U158" s="11">
        <f>IF(_xlfn.NUMBERVALUE(L158)&gt;0,L158,U157)</f>
        <v>2669130.9663990075</v>
      </c>
    </row>
    <row r="159" spans="1:22" x14ac:dyDescent="0.25">
      <c r="A159" s="13">
        <v>44985</v>
      </c>
      <c r="B159" s="8">
        <f t="shared" si="18"/>
        <v>1.5283875851627555</v>
      </c>
      <c r="C159" s="8">
        <f t="shared" si="19"/>
        <v>1.263014088553966</v>
      </c>
      <c r="D159" s="8">
        <f t="shared" si="20"/>
        <v>0.34192825112107617</v>
      </c>
      <c r="E159" s="8">
        <f t="shared" si="21"/>
        <v>1.1258921161825728</v>
      </c>
      <c r="F159" s="8">
        <f>PRODUCT($K$2:K159)-1</f>
        <v>1.6823231047586495</v>
      </c>
      <c r="G159" s="8">
        <f t="shared" si="22"/>
        <v>6.3147024032833734</v>
      </c>
      <c r="H159" s="8">
        <f t="shared" si="23"/>
        <v>5.203753062843619</v>
      </c>
      <c r="I159" s="8">
        <f t="shared" si="24"/>
        <v>2.4615198599909651</v>
      </c>
      <c r="J159" s="8"/>
      <c r="K159" s="20">
        <f t="shared" si="25"/>
        <v>1.0061666666666667</v>
      </c>
      <c r="L159" s="2" t="s">
        <v>61</v>
      </c>
      <c r="M159" s="2">
        <v>66800000</v>
      </c>
      <c r="N159" s="2">
        <v>53013242.277060486</v>
      </c>
      <c r="O159" s="2">
        <v>23940</v>
      </c>
      <c r="P159" s="2">
        <v>1024.68</v>
      </c>
      <c r="Q159" s="3">
        <v>7.4</v>
      </c>
      <c r="R159" s="2">
        <v>14272184</v>
      </c>
      <c r="S159" s="2">
        <v>12026335.130000001</v>
      </c>
      <c r="T159" s="2">
        <f t="shared" si="26"/>
        <v>9476856.656995276</v>
      </c>
      <c r="U159" s="11">
        <f>IF(_xlfn.NUMBERVALUE(L159)&gt;0,L159,U158)</f>
        <v>2669130.9663990075</v>
      </c>
    </row>
    <row r="160" spans="1:22" x14ac:dyDescent="0.25">
      <c r="A160" s="13">
        <v>45016</v>
      </c>
      <c r="B160" s="8">
        <f t="shared" si="18"/>
        <v>1.5378501135503408</v>
      </c>
      <c r="C160" s="8">
        <f t="shared" si="19"/>
        <v>1.3946074809793849</v>
      </c>
      <c r="D160" s="8">
        <f t="shared" si="20"/>
        <v>0.32455156950672648</v>
      </c>
      <c r="E160" s="8">
        <f t="shared" si="21"/>
        <v>1.2087966804979255</v>
      </c>
      <c r="F160" s="8">
        <f>PRODUCT($K$2:K160)-1</f>
        <v>1.6985252015769094</v>
      </c>
      <c r="G160" s="8">
        <f t="shared" si="22"/>
        <v>6.3879084484953594</v>
      </c>
      <c r="H160" s="8">
        <f t="shared" si="23"/>
        <v>5.3097021806930718</v>
      </c>
      <c r="I160" s="8">
        <f t="shared" si="24"/>
        <v>2.5197496449103043</v>
      </c>
      <c r="J160" s="8"/>
      <c r="K160" s="20">
        <f t="shared" si="25"/>
        <v>1.0060403225806451</v>
      </c>
      <c r="L160" s="2">
        <v>2296832.9505260298</v>
      </c>
      <c r="M160" s="2">
        <v>67050000</v>
      </c>
      <c r="N160" s="2">
        <v>56095941.775041386</v>
      </c>
      <c r="O160" s="2">
        <v>23630</v>
      </c>
      <c r="P160" s="2">
        <v>1064.6400000000001</v>
      </c>
      <c r="Q160" s="3">
        <v>7.2483870967741941</v>
      </c>
      <c r="R160" s="2">
        <v>14415021</v>
      </c>
      <c r="S160" s="2">
        <v>12231723.640000001</v>
      </c>
      <c r="T160" s="2">
        <f t="shared" si="26"/>
        <v>9636276.6075281277</v>
      </c>
      <c r="U160" s="11">
        <f>IF(_xlfn.NUMBERVALUE(L160)&gt;0,L160,U159)</f>
        <v>2296832.9505260298</v>
      </c>
      <c r="V160" s="3">
        <v>3.3</v>
      </c>
    </row>
    <row r="161" spans="1:22" x14ac:dyDescent="0.25">
      <c r="A161" s="13">
        <v>45046</v>
      </c>
      <c r="B161" s="8">
        <f t="shared" si="18"/>
        <v>1.5435276305828918</v>
      </c>
      <c r="C161" s="8">
        <f t="shared" si="19"/>
        <v>1.4312136905859787</v>
      </c>
      <c r="D161" s="8">
        <f t="shared" si="20"/>
        <v>0.32455156950672648</v>
      </c>
      <c r="E161" s="8">
        <f t="shared" si="21"/>
        <v>1.1765975103734436</v>
      </c>
      <c r="F161" s="8">
        <f>PRODUCT($K$2:K161)-1</f>
        <v>1.7147163527863709</v>
      </c>
      <c r="G161" s="8">
        <f t="shared" si="22"/>
        <v>6.4163899087929055</v>
      </c>
      <c r="H161" s="8">
        <f t="shared" si="23"/>
        <v>5.3372931220009923</v>
      </c>
      <c r="I161" s="8">
        <f t="shared" si="24"/>
        <v>2.5197496449103043</v>
      </c>
      <c r="J161" s="8"/>
      <c r="K161" s="20">
        <f t="shared" si="25"/>
        <v>1.006</v>
      </c>
      <c r="L161" s="2" t="s">
        <v>61</v>
      </c>
      <c r="M161" s="2">
        <v>67200000</v>
      </c>
      <c r="N161" s="2">
        <v>56953476.806985997</v>
      </c>
      <c r="O161" s="2">
        <v>23630</v>
      </c>
      <c r="P161" s="2">
        <v>1049.1199999999999</v>
      </c>
      <c r="Q161" s="3">
        <v>7.2</v>
      </c>
      <c r="R161" s="2">
        <v>14470593</v>
      </c>
      <c r="S161" s="2">
        <v>12285210.279999999</v>
      </c>
      <c r="T161" s="2">
        <f t="shared" si="26"/>
        <v>9636276.6075281277</v>
      </c>
      <c r="U161" s="11">
        <f>IF(_xlfn.NUMBERVALUE(L161)&gt;0,L161,U160)</f>
        <v>2296832.9505260298</v>
      </c>
    </row>
    <row r="162" spans="1:22" x14ac:dyDescent="0.25">
      <c r="A162" s="13">
        <v>45077</v>
      </c>
      <c r="B162" s="8">
        <f t="shared" si="18"/>
        <v>1.5378501135503408</v>
      </c>
      <c r="C162" s="8">
        <f t="shared" si="19"/>
        <v>1.391942753867994</v>
      </c>
      <c r="D162" s="8">
        <f t="shared" si="20"/>
        <v>0.32651345291479816</v>
      </c>
      <c r="E162" s="8">
        <f t="shared" si="21"/>
        <v>1.2306431535269713</v>
      </c>
      <c r="F162" s="8">
        <f>PRODUCT($K$2:K162)-1</f>
        <v>1.7309170794078379</v>
      </c>
      <c r="G162" s="8">
        <f t="shared" si="22"/>
        <v>6.4406005850866457</v>
      </c>
      <c r="H162" s="8">
        <f t="shared" si="23"/>
        <v>5.3521770924573833</v>
      </c>
      <c r="I162" s="8">
        <f t="shared" si="24"/>
        <v>2.5197496449103043</v>
      </c>
      <c r="J162" s="8"/>
      <c r="K162" s="20">
        <f t="shared" si="25"/>
        <v>1.0059677419354838</v>
      </c>
      <c r="L162" s="2" t="s">
        <v>61</v>
      </c>
      <c r="M162" s="2">
        <v>67050000</v>
      </c>
      <c r="N162" s="2">
        <v>56033518.025815561</v>
      </c>
      <c r="O162" s="2">
        <v>23665</v>
      </c>
      <c r="P162" s="2">
        <v>1075.17</v>
      </c>
      <c r="Q162" s="3">
        <v>7.161290322580645</v>
      </c>
      <c r="R162" s="2">
        <v>14517832</v>
      </c>
      <c r="S162" s="2">
        <v>12314063.720000001</v>
      </c>
      <c r="T162" s="2">
        <f t="shared" si="26"/>
        <v>9636276.6075281277</v>
      </c>
      <c r="U162" s="11">
        <f>IF(_xlfn.NUMBERVALUE(L162)&gt;0,L162,U161)</f>
        <v>2296832.9505260298</v>
      </c>
    </row>
    <row r="163" spans="1:22" x14ac:dyDescent="0.25">
      <c r="A163" s="13">
        <v>45107</v>
      </c>
      <c r="B163" s="8">
        <f t="shared" si="18"/>
        <v>1.5340651021953065</v>
      </c>
      <c r="C163" s="8">
        <f t="shared" si="19"/>
        <v>1.3583637503019914</v>
      </c>
      <c r="D163" s="8">
        <f t="shared" si="20"/>
        <v>0.33127802690582953</v>
      </c>
      <c r="E163" s="8">
        <f t="shared" si="21"/>
        <v>1.3240248962655601</v>
      </c>
      <c r="F163" s="8">
        <f>PRODUCT($K$2:K163)-1</f>
        <v>1.7461210809534022</v>
      </c>
      <c r="G163" s="8">
        <f t="shared" si="22"/>
        <v>6.5617533943840698</v>
      </c>
      <c r="H163" s="8">
        <f t="shared" si="23"/>
        <v>5.4418565294409555</v>
      </c>
      <c r="I163" s="8">
        <f t="shared" si="24"/>
        <v>2.5758552137242985</v>
      </c>
      <c r="J163" s="8"/>
      <c r="K163" s="20">
        <f t="shared" si="25"/>
        <v>1.0055673611111111</v>
      </c>
      <c r="L163" s="2">
        <v>2445616.6655131099</v>
      </c>
      <c r="M163" s="2">
        <v>66950000</v>
      </c>
      <c r="N163" s="2">
        <v>55246898.154348359</v>
      </c>
      <c r="O163" s="2">
        <v>23750</v>
      </c>
      <c r="P163" s="2">
        <v>1120.18</v>
      </c>
      <c r="Q163" s="3">
        <v>6.6808333333333332</v>
      </c>
      <c r="R163" s="2">
        <v>14754221</v>
      </c>
      <c r="S163" s="2">
        <v>12487912.51</v>
      </c>
      <c r="T163" s="2">
        <f t="shared" si="26"/>
        <v>9789880.9359201062</v>
      </c>
      <c r="U163" s="11">
        <f>IF(_xlfn.NUMBERVALUE(L163)&gt;0,L163,U162)</f>
        <v>2445616.6655131099</v>
      </c>
      <c r="V163" s="3">
        <v>4.0999999999999996</v>
      </c>
    </row>
    <row r="164" spans="1:22" x14ac:dyDescent="0.25">
      <c r="A164" s="13">
        <v>45138</v>
      </c>
      <c r="B164" s="8">
        <f t="shared" si="18"/>
        <v>1.5454201362604087</v>
      </c>
      <c r="C164" s="8">
        <f t="shared" si="19"/>
        <v>1.4192500420610221</v>
      </c>
      <c r="D164" s="8">
        <f t="shared" si="20"/>
        <v>0.3371636771300448</v>
      </c>
      <c r="E164" s="8">
        <f t="shared" si="21"/>
        <v>1.5371369294605812</v>
      </c>
      <c r="F164" s="8">
        <f>PRODUCT($K$2:K164)-1</f>
        <v>1.7605382166284076</v>
      </c>
      <c r="G164" s="8">
        <f t="shared" si="22"/>
        <v>6.5036967676730404</v>
      </c>
      <c r="H164" s="8">
        <f t="shared" si="23"/>
        <v>5.4306764976853925</v>
      </c>
      <c r="I164" s="8">
        <f t="shared" si="24"/>
        <v>2.5758552137242985</v>
      </c>
      <c r="J164" s="8"/>
      <c r="K164" s="20">
        <f t="shared" si="25"/>
        <v>1.00525</v>
      </c>
      <c r="L164" s="2" t="s">
        <v>61</v>
      </c>
      <c r="M164" s="2">
        <v>67250000</v>
      </c>
      <c r="N164" s="2">
        <v>56673217.04149051</v>
      </c>
      <c r="O164" s="2">
        <v>23855</v>
      </c>
      <c r="P164" s="2">
        <v>1222.9000000000001</v>
      </c>
      <c r="Q164" s="3">
        <v>6.3</v>
      </c>
      <c r="R164" s="2">
        <v>14640943</v>
      </c>
      <c r="S164" s="2">
        <v>12466239.369999999</v>
      </c>
      <c r="T164" s="2">
        <f t="shared" si="26"/>
        <v>9789880.9359201062</v>
      </c>
      <c r="U164" s="11">
        <f>IF(_xlfn.NUMBERVALUE(L164)&gt;0,L164,U163)</f>
        <v>2445616.6655131099</v>
      </c>
    </row>
    <row r="165" spans="1:22" x14ac:dyDescent="0.25">
      <c r="A165" s="13">
        <v>45169</v>
      </c>
      <c r="B165" s="8">
        <f t="shared" si="18"/>
        <v>1.5832702498107496</v>
      </c>
      <c r="C165" s="8">
        <f t="shared" si="19"/>
        <v>1.4525560462441631</v>
      </c>
      <c r="D165" s="8">
        <f t="shared" si="20"/>
        <v>0.35874439461883401</v>
      </c>
      <c r="E165" s="8">
        <f t="shared" si="21"/>
        <v>1.5395228215767633</v>
      </c>
      <c r="F165" s="8">
        <f>PRODUCT($K$2:K165)-1</f>
        <v>1.7748455222242669</v>
      </c>
      <c r="G165" s="8">
        <f t="shared" si="22"/>
        <v>6.5858072412160125</v>
      </c>
      <c r="H165" s="8">
        <f t="shared" si="23"/>
        <v>5.4936435845613083</v>
      </c>
      <c r="I165" s="8">
        <f t="shared" si="24"/>
        <v>2.5758552137242985</v>
      </c>
      <c r="J165" s="8"/>
      <c r="K165" s="20">
        <f t="shared" si="25"/>
        <v>1.0051827956989248</v>
      </c>
      <c r="L165" s="2" t="s">
        <v>61</v>
      </c>
      <c r="M165" s="2">
        <v>68250000</v>
      </c>
      <c r="N165" s="2">
        <v>57453441.644586056</v>
      </c>
      <c r="O165" s="2">
        <v>24240</v>
      </c>
      <c r="P165" s="2">
        <v>1224.05</v>
      </c>
      <c r="Q165" s="3">
        <v>6.2193548387096769</v>
      </c>
      <c r="R165" s="2">
        <v>14801154</v>
      </c>
      <c r="S165" s="2">
        <v>12588304.720000001</v>
      </c>
      <c r="T165" s="2">
        <f t="shared" si="26"/>
        <v>9789880.9359201062</v>
      </c>
      <c r="U165" s="11">
        <f>IF(_xlfn.NUMBERVALUE(L165)&gt;0,L165,U164)</f>
        <v>2445616.6655131099</v>
      </c>
    </row>
    <row r="166" spans="1:22" x14ac:dyDescent="0.25">
      <c r="A166" s="13">
        <v>45199</v>
      </c>
      <c r="B166" s="8">
        <f t="shared" si="18"/>
        <v>1.6040878122634368</v>
      </c>
      <c r="C166" s="8">
        <f t="shared" si="19"/>
        <v>1.3491797960531668</v>
      </c>
      <c r="D166" s="8">
        <f t="shared" si="20"/>
        <v>0.37107623318385641</v>
      </c>
      <c r="E166" s="8">
        <f t="shared" si="21"/>
        <v>1.3945020746887971</v>
      </c>
      <c r="F166" s="8">
        <f>PRODUCT($K$2:K166)-1</f>
        <v>1.7879740101012906</v>
      </c>
      <c r="G166" s="8">
        <f t="shared" si="22"/>
        <v>6.7010502448794664</v>
      </c>
      <c r="H166" s="8">
        <f t="shared" si="23"/>
        <v>5.5794622188245073</v>
      </c>
      <c r="I166" s="8">
        <f t="shared" si="24"/>
        <v>2.6403731163346889</v>
      </c>
      <c r="J166" s="8"/>
      <c r="K166" s="20">
        <f t="shared" si="25"/>
        <v>1.0047312500000001</v>
      </c>
      <c r="L166" s="2">
        <v>2554935.7447491498</v>
      </c>
      <c r="M166" s="2">
        <v>68800000</v>
      </c>
      <c r="N166" s="2">
        <v>55031755.352490917</v>
      </c>
      <c r="O166" s="2">
        <v>24460</v>
      </c>
      <c r="P166" s="2">
        <v>1154.1500000000001</v>
      </c>
      <c r="Q166" s="3">
        <v>5.6774999999999993</v>
      </c>
      <c r="R166" s="2">
        <v>15026012</v>
      </c>
      <c r="S166" s="2">
        <v>12754669.119999999</v>
      </c>
      <c r="T166" s="2">
        <f t="shared" si="26"/>
        <v>9966516.327187296</v>
      </c>
      <c r="U166" s="11">
        <f>IF(_xlfn.NUMBERVALUE(L166)&gt;0,L166,U165)</f>
        <v>2554935.7447491498</v>
      </c>
      <c r="V166" s="3">
        <v>5.3</v>
      </c>
    </row>
    <row r="167" spans="1:22" x14ac:dyDescent="0.25">
      <c r="A167" s="13">
        <v>45230</v>
      </c>
      <c r="B167" s="8">
        <f t="shared" si="18"/>
        <v>1.679788039364118</v>
      </c>
      <c r="C167" s="8">
        <f t="shared" si="19"/>
        <v>1.5382799158357279</v>
      </c>
      <c r="D167" s="8">
        <f t="shared" si="20"/>
        <v>0.38621076233183849</v>
      </c>
      <c r="E167" s="8">
        <f t="shared" si="21"/>
        <v>1.1331742738589212</v>
      </c>
      <c r="F167" s="8">
        <f>PRODUCT($K$2:K167)-1</f>
        <v>1.8004486948857359</v>
      </c>
      <c r="G167" s="8">
        <f t="shared" si="22"/>
        <v>6.72577958592922</v>
      </c>
      <c r="H167" s="8">
        <f t="shared" si="23"/>
        <v>5.6072184840484525</v>
      </c>
      <c r="I167" s="8">
        <f t="shared" si="24"/>
        <v>2.6403731163346889</v>
      </c>
      <c r="J167" s="8"/>
      <c r="K167" s="20">
        <f t="shared" si="25"/>
        <v>1.0044744623655915</v>
      </c>
      <c r="L167" s="2" t="s">
        <v>61</v>
      </c>
      <c r="M167" s="2">
        <v>70800000</v>
      </c>
      <c r="N167" s="2">
        <v>59461604.249746248</v>
      </c>
      <c r="O167" s="2">
        <v>24730</v>
      </c>
      <c r="P167" s="2">
        <v>1028.19</v>
      </c>
      <c r="Q167" s="3">
        <v>5.3693548387096772</v>
      </c>
      <c r="R167" s="2">
        <v>15074263</v>
      </c>
      <c r="S167" s="2">
        <v>12808476.25</v>
      </c>
      <c r="T167" s="2">
        <f t="shared" si="26"/>
        <v>9966516.327187296</v>
      </c>
      <c r="U167" s="11">
        <f>IF(_xlfn.NUMBERVALUE(L167)&gt;0,L167,U166)</f>
        <v>2554935.7447491498</v>
      </c>
    </row>
    <row r="168" spans="1:22" x14ac:dyDescent="0.25">
      <c r="A168" s="13">
        <v>45260</v>
      </c>
      <c r="B168" s="8">
        <f t="shared" si="18"/>
        <v>1.7857683573050718</v>
      </c>
      <c r="C168" s="8">
        <f t="shared" si="19"/>
        <v>1.5625588502317491</v>
      </c>
      <c r="D168" s="8">
        <f t="shared" si="20"/>
        <v>0.36939461883408065</v>
      </c>
      <c r="E168" s="8">
        <f t="shared" si="21"/>
        <v>1.2699792531120333</v>
      </c>
      <c r="F168" s="8">
        <f>PRODUCT($K$2:K168)-1</f>
        <v>1.8126617628050985</v>
      </c>
      <c r="G168" s="8">
        <f t="shared" si="22"/>
        <v>6.8692098665207029</v>
      </c>
      <c r="H168" s="8">
        <f t="shared" si="23"/>
        <v>5.7162261794591656</v>
      </c>
      <c r="I168" s="8">
        <f t="shared" si="24"/>
        <v>2.6403731163346889</v>
      </c>
      <c r="J168" s="8"/>
      <c r="K168" s="20">
        <f t="shared" si="25"/>
        <v>1.004361111111111</v>
      </c>
      <c r="L168" s="2" t="s">
        <v>61</v>
      </c>
      <c r="M168" s="2">
        <v>73600000</v>
      </c>
      <c r="N168" s="2">
        <v>60030361.217665777</v>
      </c>
      <c r="O168" s="2">
        <v>24430</v>
      </c>
      <c r="P168" s="2">
        <v>1094.1300000000001</v>
      </c>
      <c r="Q168" s="3">
        <v>5.2333333333333334</v>
      </c>
      <c r="R168" s="2">
        <v>15354119</v>
      </c>
      <c r="S168" s="2">
        <v>13019793.99</v>
      </c>
      <c r="T168" s="2">
        <f t="shared" si="26"/>
        <v>9966516.327187296</v>
      </c>
      <c r="U168" s="11">
        <f>IF(_xlfn.NUMBERVALUE(L168)&gt;0,L168,U167)</f>
        <v>2554935.7447491498</v>
      </c>
    </row>
    <row r="169" spans="1:22" x14ac:dyDescent="0.25">
      <c r="A169" s="13">
        <v>45291</v>
      </c>
      <c r="B169" s="8">
        <f t="shared" si="18"/>
        <v>1.800908402725208</v>
      </c>
      <c r="C169" s="8">
        <f t="shared" si="19"/>
        <v>1.603864590547091</v>
      </c>
      <c r="D169" s="8">
        <f t="shared" si="20"/>
        <v>0.3688340807174888</v>
      </c>
      <c r="E169" s="8">
        <f t="shared" si="21"/>
        <v>1.3442531120331953</v>
      </c>
      <c r="F169" s="8">
        <f>PRODUCT($K$2:K169)-1</f>
        <v>1.8245702097847167</v>
      </c>
      <c r="G169" s="8">
        <f t="shared" si="22"/>
        <v>7.1996982314146845</v>
      </c>
      <c r="H169" s="8">
        <f t="shared" si="23"/>
        <v>5.9995212523948211</v>
      </c>
      <c r="I169" s="8">
        <f t="shared" si="24"/>
        <v>2.7324392360970515</v>
      </c>
      <c r="J169" s="8"/>
      <c r="K169" s="20">
        <f t="shared" si="25"/>
        <v>1.0042338709677419</v>
      </c>
      <c r="L169" s="2">
        <v>2921187.1311023198</v>
      </c>
      <c r="M169" s="2">
        <v>74000000</v>
      </c>
      <c r="N169" s="2">
        <v>60997987.194828726</v>
      </c>
      <c r="O169" s="2">
        <v>24420</v>
      </c>
      <c r="P169" s="2">
        <v>1129.93</v>
      </c>
      <c r="Q169" s="3">
        <v>5.080645161290323</v>
      </c>
      <c r="R169" s="2">
        <v>15998956</v>
      </c>
      <c r="S169" s="2">
        <v>13568977.92</v>
      </c>
      <c r="T169" s="2">
        <f t="shared" si="26"/>
        <v>10218572.491890609</v>
      </c>
      <c r="U169" s="11">
        <f>IF(_xlfn.NUMBERVALUE(L169)&gt;0,L169,U168)</f>
        <v>2921187.1311023198</v>
      </c>
      <c r="V169" s="3">
        <v>6.7</v>
      </c>
    </row>
    <row r="170" spans="1:22" x14ac:dyDescent="0.25">
      <c r="A170" s="13">
        <v>45322</v>
      </c>
      <c r="B170" s="8">
        <f t="shared" si="18"/>
        <v>1.9485238455715366</v>
      </c>
      <c r="C170" s="8">
        <f t="shared" si="19"/>
        <v>1.5929041960376908</v>
      </c>
      <c r="D170" s="8">
        <f t="shared" si="20"/>
        <v>0.37864349775784745</v>
      </c>
      <c r="E170" s="8">
        <f t="shared" si="21"/>
        <v>1.4155809128630703</v>
      </c>
      <c r="F170" s="8">
        <f>PRODUCT($K$2:K170)-1</f>
        <v>1.8361722078507139</v>
      </c>
      <c r="G170" s="8">
        <f t="shared" si="22"/>
        <v>7.1998709488284938</v>
      </c>
      <c r="H170" s="8">
        <f t="shared" si="23"/>
        <v>5.9516612863788447</v>
      </c>
      <c r="I170" s="8">
        <f t="shared" si="24"/>
        <v>2.7324392360970515</v>
      </c>
      <c r="J170" s="8"/>
      <c r="K170" s="20">
        <f t="shared" si="25"/>
        <v>1.0041075268817203</v>
      </c>
      <c r="L170" s="2" t="s">
        <v>61</v>
      </c>
      <c r="M170" s="2">
        <v>77900000</v>
      </c>
      <c r="N170" s="2">
        <v>60741229.602148309</v>
      </c>
      <c r="O170" s="2">
        <v>24595</v>
      </c>
      <c r="P170" s="2">
        <v>1164.31</v>
      </c>
      <c r="Q170" s="3">
        <v>4.9290322580645167</v>
      </c>
      <c r="R170" s="2">
        <v>15999293</v>
      </c>
      <c r="S170" s="2">
        <v>13476198.6</v>
      </c>
      <c r="T170" s="2">
        <f t="shared" si="26"/>
        <v>10218572.491890609</v>
      </c>
      <c r="U170" s="11">
        <f>IF(_xlfn.NUMBERVALUE(L170)&gt;0,L170,U169)</f>
        <v>2921187.1311023198</v>
      </c>
    </row>
    <row r="171" spans="1:22" x14ac:dyDescent="0.25">
      <c r="A171" s="13">
        <v>45351</v>
      </c>
      <c r="B171" s="8">
        <f t="shared" si="18"/>
        <v>2.0090840272520816</v>
      </c>
      <c r="C171" s="8">
        <f t="shared" si="19"/>
        <v>1.6246722823901618</v>
      </c>
      <c r="D171" s="8">
        <f t="shared" si="20"/>
        <v>0.39125560538116599</v>
      </c>
      <c r="E171" s="8">
        <f t="shared" si="21"/>
        <v>1.59902489626556</v>
      </c>
      <c r="F171" s="8">
        <f>PRODUCT($K$2:K171)-1</f>
        <v>1.8474618847211888</v>
      </c>
      <c r="G171" s="8">
        <f t="shared" si="22"/>
        <v>7.1561913811447937</v>
      </c>
      <c r="H171" s="8">
        <f t="shared" si="23"/>
        <v>5.9472180094688945</v>
      </c>
      <c r="I171" s="8">
        <f t="shared" si="24"/>
        <v>2.7324392360970515</v>
      </c>
      <c r="J171" s="8"/>
      <c r="K171" s="20">
        <f t="shared" si="25"/>
        <v>1.0039806034482759</v>
      </c>
      <c r="L171" s="2" t="s">
        <v>61</v>
      </c>
      <c r="M171" s="2">
        <v>79500000</v>
      </c>
      <c r="N171" s="2">
        <v>61485427.027608559</v>
      </c>
      <c r="O171" s="2">
        <v>24820</v>
      </c>
      <c r="P171" s="2">
        <v>1252.73</v>
      </c>
      <c r="Q171" s="3">
        <v>4.7767241379310343</v>
      </c>
      <c r="R171" s="2">
        <v>15914067</v>
      </c>
      <c r="S171" s="2">
        <v>13467585.050000001</v>
      </c>
      <c r="T171" s="2">
        <f t="shared" si="26"/>
        <v>10218572.491890609</v>
      </c>
      <c r="U171" s="11">
        <f>IF(_xlfn.NUMBERVALUE(L171)&gt;0,L171,U170)</f>
        <v>2921187.1311023198</v>
      </c>
    </row>
    <row r="172" spans="1:22" x14ac:dyDescent="0.25">
      <c r="A172" s="13">
        <v>45382</v>
      </c>
      <c r="B172" s="8">
        <f t="shared" si="18"/>
        <v>2.0582891748675247</v>
      </c>
      <c r="C172" s="8">
        <f t="shared" si="19"/>
        <v>1.8496233685186039</v>
      </c>
      <c r="D172" s="8">
        <f t="shared" si="20"/>
        <v>0.3996636771300448</v>
      </c>
      <c r="E172" s="8">
        <f t="shared" si="21"/>
        <v>1.6640871369294605</v>
      </c>
      <c r="F172" s="8">
        <f>PRODUCT($K$2:K172)-1</f>
        <v>1.8587158654631546</v>
      </c>
      <c r="G172" s="8">
        <f t="shared" si="22"/>
        <v>7.2068524224514192</v>
      </c>
      <c r="H172" s="8">
        <f t="shared" si="23"/>
        <v>6.0987898582348317</v>
      </c>
      <c r="I172" s="8">
        <f t="shared" si="24"/>
        <v>2.81308995678453</v>
      </c>
      <c r="J172" s="8"/>
      <c r="K172" s="20">
        <f t="shared" si="25"/>
        <v>1.0039522849462366</v>
      </c>
      <c r="L172" s="2">
        <v>2517636.3404105501</v>
      </c>
      <c r="M172" s="2">
        <v>80800000</v>
      </c>
      <c r="N172" s="2">
        <v>66755118.670153812</v>
      </c>
      <c r="O172" s="2">
        <v>24970</v>
      </c>
      <c r="P172" s="2">
        <v>1284.0899999999999</v>
      </c>
      <c r="Q172" s="3">
        <v>4.7427419354838714</v>
      </c>
      <c r="R172" s="2">
        <v>16012915</v>
      </c>
      <c r="S172" s="2">
        <v>13761415.869999999</v>
      </c>
      <c r="T172" s="2">
        <f t="shared" si="26"/>
        <v>10439375.88177513</v>
      </c>
      <c r="U172" s="11">
        <f>IF(_xlfn.NUMBERVALUE(L172)&gt;0,L172,U171)</f>
        <v>2517636.3404105501</v>
      </c>
      <c r="V172" s="3">
        <v>5.7</v>
      </c>
    </row>
    <row r="173" spans="1:22" x14ac:dyDescent="0.25">
      <c r="A173" s="13">
        <v>45412</v>
      </c>
      <c r="B173" s="8">
        <f t="shared" si="18"/>
        <v>2.2248296744890235</v>
      </c>
      <c r="C173" s="8">
        <f t="shared" si="19"/>
        <v>2.0173399345267073</v>
      </c>
      <c r="D173" s="8">
        <f t="shared" si="20"/>
        <v>0.42701793721973091</v>
      </c>
      <c r="E173" s="8">
        <f t="shared" si="21"/>
        <v>1.5093775933609956</v>
      </c>
      <c r="F173" s="8">
        <f>PRODUCT($K$2:K173)-1</f>
        <v>1.869852946022355</v>
      </c>
      <c r="G173" s="8">
        <f t="shared" si="22"/>
        <v>7.210157628984545</v>
      </c>
      <c r="H173" s="8">
        <f t="shared" si="23"/>
        <v>6.1404459964571609</v>
      </c>
      <c r="I173" s="8">
        <f t="shared" si="24"/>
        <v>2.81308995678453</v>
      </c>
      <c r="J173" s="8"/>
      <c r="K173" s="20">
        <f t="shared" si="25"/>
        <v>1.0038958333333334</v>
      </c>
      <c r="L173" s="2" t="s">
        <v>61</v>
      </c>
      <c r="M173" s="2">
        <v>85200000</v>
      </c>
      <c r="N173" s="2">
        <v>70684037.625026748</v>
      </c>
      <c r="O173" s="2">
        <v>25458</v>
      </c>
      <c r="P173" s="2">
        <v>1209.52</v>
      </c>
      <c r="Q173" s="3">
        <v>4.6749999999999998</v>
      </c>
      <c r="R173" s="2">
        <v>16019364</v>
      </c>
      <c r="S173" s="2">
        <v>13842168.710000001</v>
      </c>
      <c r="T173" s="2">
        <f t="shared" si="26"/>
        <v>10439375.88177513</v>
      </c>
      <c r="U173" s="11">
        <f>IF(_xlfn.NUMBERVALUE(L173)&gt;0,L173,U172)</f>
        <v>2517636.3404105501</v>
      </c>
    </row>
    <row r="174" spans="1:22" x14ac:dyDescent="0.25">
      <c r="A174" s="13">
        <v>45443</v>
      </c>
      <c r="B174" s="8">
        <f t="shared" si="18"/>
        <v>2.311884935654807</v>
      </c>
      <c r="C174" s="8">
        <f t="shared" si="19"/>
        <v>2.045457459093484</v>
      </c>
      <c r="D174" s="8">
        <f t="shared" si="20"/>
        <v>0.42791479820627809</v>
      </c>
      <c r="E174" s="8">
        <f t="shared" si="21"/>
        <v>1.6176763485477177</v>
      </c>
      <c r="F174" s="8">
        <f>PRODUCT($K$2:K174)-1</f>
        <v>1.8810334147912342</v>
      </c>
      <c r="G174" s="8">
        <f t="shared" si="22"/>
        <v>7.2668894055035871</v>
      </c>
      <c r="H174" s="8">
        <f t="shared" si="23"/>
        <v>6.2394089730614199</v>
      </c>
      <c r="I174" s="8">
        <f t="shared" si="24"/>
        <v>2.81308995678453</v>
      </c>
      <c r="J174" s="8"/>
      <c r="K174" s="20">
        <f t="shared" si="25"/>
        <v>1.0038958333333334</v>
      </c>
      <c r="L174" s="2" t="s">
        <v>61</v>
      </c>
      <c r="M174" s="2">
        <v>87500000</v>
      </c>
      <c r="N174" s="2">
        <v>71342717.192966253</v>
      </c>
      <c r="O174" s="2">
        <v>25474</v>
      </c>
      <c r="P174" s="2">
        <v>1261.72</v>
      </c>
      <c r="Q174" s="3">
        <v>4.6749999999999998</v>
      </c>
      <c r="R174" s="2">
        <v>16130057</v>
      </c>
      <c r="S174" s="2">
        <v>14034014.18</v>
      </c>
      <c r="T174" s="2">
        <f t="shared" si="26"/>
        <v>10439375.88177513</v>
      </c>
      <c r="U174" s="11">
        <f>IF(_xlfn.NUMBERVALUE(L174)&gt;0,L174,U173)</f>
        <v>2517636.3404105501</v>
      </c>
    </row>
    <row r="175" spans="1:22" x14ac:dyDescent="0.25">
      <c r="A175" s="13">
        <v>45473</v>
      </c>
      <c r="B175" s="8">
        <f t="shared" si="18"/>
        <v>1.9137017411052235</v>
      </c>
      <c r="C175" s="8">
        <f t="shared" si="19"/>
        <v>2.0672319795524321</v>
      </c>
      <c r="D175" s="8">
        <f t="shared" si="20"/>
        <v>0.42785874439461891</v>
      </c>
      <c r="E175" s="8">
        <f t="shared" si="21"/>
        <v>1.5836514522821576</v>
      </c>
      <c r="F175" s="8">
        <f>PRODUCT($K$2:K175)-1</f>
        <v>1.8922574408030255</v>
      </c>
      <c r="G175" s="8">
        <f t="shared" si="22"/>
        <v>7.463207603256313</v>
      </c>
      <c r="H175" s="8">
        <f t="shared" si="23"/>
        <v>6.4262735394040318</v>
      </c>
      <c r="I175" s="8">
        <f t="shared" si="24"/>
        <v>2.9177503629401196</v>
      </c>
      <c r="J175" s="8"/>
      <c r="K175" s="20">
        <f t="shared" si="25"/>
        <v>1.0038958333333334</v>
      </c>
      <c r="L175" s="2">
        <v>2732153.1312614302</v>
      </c>
      <c r="M175" s="2">
        <v>76980000</v>
      </c>
      <c r="N175" s="2">
        <v>71852805.899172515</v>
      </c>
      <c r="O175" s="2">
        <v>25473</v>
      </c>
      <c r="P175" s="2">
        <v>1245.32</v>
      </c>
      <c r="Q175" s="3">
        <v>4.6749999999999998</v>
      </c>
      <c r="R175" s="2">
        <v>16513106</v>
      </c>
      <c r="S175" s="2">
        <v>14396261.98</v>
      </c>
      <c r="T175" s="2">
        <f t="shared" si="26"/>
        <v>10725912.347523449</v>
      </c>
      <c r="U175" s="11">
        <f>IF(_xlfn.NUMBERVALUE(L175)&gt;0,L175,U174)</f>
        <v>2732153.1312614302</v>
      </c>
      <c r="V175" s="3">
        <v>6.9</v>
      </c>
    </row>
    <row r="176" spans="1:22" x14ac:dyDescent="0.25">
      <c r="A176" s="13">
        <v>45504</v>
      </c>
      <c r="B176" s="8">
        <f t="shared" si="18"/>
        <v>1.9901589704769114</v>
      </c>
      <c r="C176" s="8">
        <f t="shared" si="19"/>
        <v>2.1745395276597348</v>
      </c>
      <c r="D176" s="8">
        <f t="shared" si="20"/>
        <v>0.42488789237668168</v>
      </c>
      <c r="E176" s="8">
        <f t="shared" si="21"/>
        <v>1.59649377593361</v>
      </c>
      <c r="F176" s="8">
        <f>PRODUCT($K$2:K176)-1</f>
        <v>1.9035251937494877</v>
      </c>
      <c r="G176" s="8">
        <f t="shared" si="22"/>
        <v>7.4059551119229337</v>
      </c>
      <c r="H176" s="8">
        <f t="shared" si="23"/>
        <v>6.4144839050469473</v>
      </c>
      <c r="I176" s="8">
        <f t="shared" si="24"/>
        <v>2.9177503629401196</v>
      </c>
      <c r="J176" s="8"/>
      <c r="K176" s="20">
        <f t="shared" si="25"/>
        <v>1.0038958333333334</v>
      </c>
      <c r="L176" s="2" t="s">
        <v>61</v>
      </c>
      <c r="M176" s="2">
        <v>79000000</v>
      </c>
      <c r="N176" s="2">
        <v>74366586.557782888</v>
      </c>
      <c r="O176" s="2">
        <v>25420</v>
      </c>
      <c r="P176" s="2">
        <v>1251.51</v>
      </c>
      <c r="Q176" s="3">
        <v>4.6749999999999998</v>
      </c>
      <c r="R176" s="2">
        <v>16401397</v>
      </c>
      <c r="S176" s="2">
        <v>14373407.09</v>
      </c>
      <c r="T176" s="2">
        <f t="shared" si="26"/>
        <v>10725912.347523449</v>
      </c>
      <c r="U176" s="11">
        <f>IF(_xlfn.NUMBERVALUE(L176)&gt;0,L176,U175)</f>
        <v>2732153.1312614302</v>
      </c>
    </row>
    <row r="177" spans="1:22" x14ac:dyDescent="0.25">
      <c r="A177" s="13">
        <v>45535</v>
      </c>
      <c r="B177" s="8">
        <f t="shared" si="18"/>
        <v>2.0658591975775926</v>
      </c>
      <c r="C177" s="8">
        <f t="shared" si="19"/>
        <v>2.2560728290702281</v>
      </c>
      <c r="D177" s="8">
        <f t="shared" si="20"/>
        <v>0.40302690582959633</v>
      </c>
      <c r="E177" s="8">
        <f t="shared" si="21"/>
        <v>1.6636307053941906</v>
      </c>
      <c r="F177" s="8">
        <f>PRODUCT($K$2:K177)-1</f>
        <v>1.9148368439834704</v>
      </c>
      <c r="G177" s="8">
        <f t="shared" si="22"/>
        <v>7.5376180577337433</v>
      </c>
      <c r="H177" s="8">
        <f t="shared" si="23"/>
        <v>6.5115017502700461</v>
      </c>
      <c r="I177" s="8">
        <f t="shared" si="24"/>
        <v>2.9177503629401196</v>
      </c>
      <c r="J177" s="8"/>
      <c r="K177" s="20">
        <f t="shared" si="25"/>
        <v>1.0038958333333334</v>
      </c>
      <c r="L177" s="2" t="s">
        <v>61</v>
      </c>
      <c r="M177" s="2">
        <v>81000000</v>
      </c>
      <c r="N177" s="2">
        <v>76276581.14561376</v>
      </c>
      <c r="O177" s="2">
        <v>25030</v>
      </c>
      <c r="P177" s="2">
        <v>1283.8699999999999</v>
      </c>
      <c r="Q177" s="3">
        <v>4.6749999999999998</v>
      </c>
      <c r="R177" s="2">
        <v>16658293</v>
      </c>
      <c r="S177" s="2">
        <v>14561481.810000001</v>
      </c>
      <c r="T177" s="2">
        <f t="shared" si="26"/>
        <v>10725912.347523449</v>
      </c>
      <c r="U177" s="11">
        <f>IF(_xlfn.NUMBERVALUE(L177)&gt;0,L177,U176)</f>
        <v>2732153.1312614302</v>
      </c>
    </row>
    <row r="178" spans="1:22" x14ac:dyDescent="0.25">
      <c r="A178" s="13">
        <v>45565</v>
      </c>
      <c r="B178" s="8">
        <f t="shared" si="18"/>
        <v>2.1604844814534445</v>
      </c>
      <c r="C178" s="8">
        <f t="shared" si="19"/>
        <v>2.3861659706067626</v>
      </c>
      <c r="D178" s="8">
        <f t="shared" si="20"/>
        <v>0.38677130044843056</v>
      </c>
      <c r="E178" s="8">
        <f t="shared" si="21"/>
        <v>1.6720746887966804</v>
      </c>
      <c r="F178" s="8">
        <f>PRODUCT($K$2:K178)-1</f>
        <v>1.9261925625214897</v>
      </c>
      <c r="G178" s="8">
        <f t="shared" si="22"/>
        <v>7.6866465350939226</v>
      </c>
      <c r="H178" s="8">
        <f t="shared" si="23"/>
        <v>6.637410575283277</v>
      </c>
      <c r="I178" s="8">
        <f t="shared" si="24"/>
        <v>3.0419617908329348</v>
      </c>
      <c r="J178" s="8"/>
      <c r="K178" s="20">
        <f t="shared" si="25"/>
        <v>1.0038958333333334</v>
      </c>
      <c r="L178" s="2">
        <v>2894998.47583629</v>
      </c>
      <c r="M178" s="2">
        <v>83500000</v>
      </c>
      <c r="N178" s="2">
        <v>79324135.849644393</v>
      </c>
      <c r="O178" s="2">
        <v>24740</v>
      </c>
      <c r="P178" s="2">
        <v>1287.94</v>
      </c>
      <c r="Q178" s="3">
        <v>4.6749999999999998</v>
      </c>
      <c r="R178" s="2">
        <v>16949072</v>
      </c>
      <c r="S178" s="2">
        <v>14805563.369999999</v>
      </c>
      <c r="T178" s="2">
        <f t="shared" si="26"/>
        <v>11065975.078610592</v>
      </c>
      <c r="U178" s="11">
        <f>IF(_xlfn.NUMBERVALUE(L178)&gt;0,L178,U177)</f>
        <v>2894998.47583629</v>
      </c>
      <c r="V178" s="3">
        <v>7.4</v>
      </c>
    </row>
    <row r="179" spans="1:22" x14ac:dyDescent="0.25">
      <c r="A179" s="13">
        <v>45596</v>
      </c>
      <c r="B179" s="8">
        <f t="shared" si="18"/>
        <v>2.4065102195306585</v>
      </c>
      <c r="C179" s="8">
        <f t="shared" si="19"/>
        <v>2.6010970318930258</v>
      </c>
      <c r="D179" s="8">
        <f t="shared" si="20"/>
        <v>0.42656950672645744</v>
      </c>
      <c r="E179" s="8">
        <f t="shared" si="21"/>
        <v>1.6234024896265562</v>
      </c>
      <c r="F179" s="8">
        <f>PRODUCT($K$2:K179)-1</f>
        <v>1.9375925210463132</v>
      </c>
      <c r="G179" s="8">
        <f t="shared" si="22"/>
        <v>7.767750942514315</v>
      </c>
      <c r="H179" s="8">
        <f t="shared" si="23"/>
        <v>6.7096391080380364</v>
      </c>
      <c r="I179" s="8">
        <f t="shared" si="24"/>
        <v>3.0419617908329348</v>
      </c>
      <c r="J179" s="8"/>
      <c r="K179" s="20">
        <f t="shared" si="25"/>
        <v>1.0038958333333334</v>
      </c>
      <c r="L179" s="2" t="s">
        <v>61</v>
      </c>
      <c r="M179" s="2">
        <v>90000000</v>
      </c>
      <c r="N179" s="2">
        <v>84359098.947074831</v>
      </c>
      <c r="O179" s="2">
        <v>25450</v>
      </c>
      <c r="P179" s="2">
        <v>1264.48</v>
      </c>
      <c r="Q179" s="3">
        <v>4.6749999999999998</v>
      </c>
      <c r="R179" s="2">
        <v>17107320</v>
      </c>
      <c r="S179" s="2">
        <v>14945582.57</v>
      </c>
      <c r="T179" s="2">
        <f t="shared" si="26"/>
        <v>11065975.078610592</v>
      </c>
      <c r="U179" s="11">
        <f>IF(_xlfn.NUMBERVALUE(L179)&gt;0,L179,U178)</f>
        <v>2894998.47583629</v>
      </c>
    </row>
    <row r="180" spans="1:22" x14ac:dyDescent="0.25">
      <c r="A180" s="13">
        <v>45626</v>
      </c>
      <c r="B180" s="8">
        <f t="shared" si="18"/>
        <v>2.2475397426192281</v>
      </c>
      <c r="C180" s="8">
        <f t="shared" si="19"/>
        <v>2.4819779905438479</v>
      </c>
      <c r="D180" s="8">
        <f t="shared" si="20"/>
        <v>0.42729820627802684</v>
      </c>
      <c r="E180" s="8">
        <f t="shared" si="21"/>
        <v>1.5943153526970955</v>
      </c>
      <c r="F180" s="8">
        <f>PRODUCT($K$2:K180)-1</f>
        <v>1.9490368919095564</v>
      </c>
      <c r="G180" s="8">
        <f t="shared" si="22"/>
        <v>7.8674468163619249</v>
      </c>
      <c r="H180" s="8">
        <f t="shared" si="23"/>
        <v>6.8287424828145449</v>
      </c>
      <c r="I180" s="8">
        <f t="shared" si="24"/>
        <v>3.0419617908329348</v>
      </c>
      <c r="J180" s="8"/>
      <c r="K180" s="20">
        <f t="shared" si="25"/>
        <v>1.0038958333333334</v>
      </c>
      <c r="L180" s="2" t="s">
        <v>61</v>
      </c>
      <c r="M180" s="2">
        <v>85800000</v>
      </c>
      <c r="N180" s="2">
        <v>81568622.904174775</v>
      </c>
      <c r="O180" s="2">
        <v>25463</v>
      </c>
      <c r="P180" s="2">
        <v>1250.46</v>
      </c>
      <c r="Q180" s="3">
        <v>4.6749999999999998</v>
      </c>
      <c r="R180" s="2">
        <v>17301843</v>
      </c>
      <c r="S180" s="2">
        <v>15176471.369999999</v>
      </c>
      <c r="T180" s="2">
        <f t="shared" si="26"/>
        <v>11065975.078610592</v>
      </c>
      <c r="U180" s="11">
        <f>IF(_xlfn.NUMBERVALUE(L180)&gt;0,L180,U179)</f>
        <v>2894998.47583629</v>
      </c>
    </row>
    <row r="181" spans="1:22" x14ac:dyDescent="0.25">
      <c r="A181" s="13">
        <v>45657</v>
      </c>
      <c r="B181" s="8">
        <f t="shared" si="18"/>
        <v>2.1869795609386826</v>
      </c>
      <c r="C181" s="8">
        <f t="shared" si="19"/>
        <v>2.4729713476042816</v>
      </c>
      <c r="D181" s="8">
        <f t="shared" si="20"/>
        <v>0.43223094170403598</v>
      </c>
      <c r="E181" s="8">
        <f t="shared" si="21"/>
        <v>1.6281742738589209</v>
      </c>
      <c r="F181" s="8">
        <f>PRODUCT($K$2:K181)-1</f>
        <v>1.9605258481342878</v>
      </c>
      <c r="G181" s="8">
        <f t="shared" si="22"/>
        <v>8.1814762880003933</v>
      </c>
      <c r="H181" s="8">
        <f t="shared" si="23"/>
        <v>7.0555824122878974</v>
      </c>
      <c r="I181" s="8">
        <f t="shared" si="24"/>
        <v>3.1793802194634209</v>
      </c>
      <c r="J181" s="8"/>
      <c r="K181" s="20">
        <f t="shared" si="25"/>
        <v>1.0038958333333334</v>
      </c>
      <c r="L181" s="2">
        <v>3297407.6362084402</v>
      </c>
      <c r="M181" s="2">
        <v>84200000</v>
      </c>
      <c r="N181" s="2">
        <v>81357633.787194371</v>
      </c>
      <c r="O181" s="2">
        <v>25551</v>
      </c>
      <c r="P181" s="2">
        <v>1266.78</v>
      </c>
      <c r="Q181" s="3">
        <v>4.6749999999999998</v>
      </c>
      <c r="R181" s="2">
        <v>17914566</v>
      </c>
      <c r="S181" s="2">
        <v>15616213.73</v>
      </c>
      <c r="T181" s="2">
        <f t="shared" si="26"/>
        <v>11442195.583716709</v>
      </c>
      <c r="U181" s="11">
        <f>IF(_xlfn.NUMBERVALUE(L181)&gt;0,L181,U180)</f>
        <v>3297407.6362084402</v>
      </c>
      <c r="V181" s="3">
        <v>7.55</v>
      </c>
    </row>
    <row r="182" spans="1:22" x14ac:dyDescent="0.25">
      <c r="A182" s="13">
        <v>45688</v>
      </c>
      <c r="B182" s="8">
        <f t="shared" si="18"/>
        <v>2.3610900832702497</v>
      </c>
      <c r="C182" s="8">
        <f t="shared" si="19"/>
        <v>2.6621653523915954</v>
      </c>
      <c r="D182" s="8">
        <f t="shared" si="20"/>
        <v>0.41816143497757841</v>
      </c>
      <c r="E182" s="8">
        <f t="shared" si="21"/>
        <v>1.6245850622406639</v>
      </c>
      <c r="F182" s="8">
        <f>PRODUCT($K$2:K182)-1</f>
        <v>1.9720595634176448</v>
      </c>
      <c r="G182" s="8">
        <f t="shared" si="22"/>
        <v>8.3159396134820032</v>
      </c>
      <c r="H182" s="8">
        <f t="shared" si="23"/>
        <v>7.0998170650555714</v>
      </c>
      <c r="I182" s="8">
        <f t="shared" si="24"/>
        <v>3.1793802194634209</v>
      </c>
      <c r="J182" s="8"/>
      <c r="K182" s="20">
        <f t="shared" si="25"/>
        <v>1.0038958333333334</v>
      </c>
      <c r="L182" s="2" t="s">
        <v>61</v>
      </c>
      <c r="M182" s="2">
        <v>88800000</v>
      </c>
      <c r="N182" s="2">
        <v>85789682.029353619</v>
      </c>
      <c r="O182" s="2">
        <v>25300</v>
      </c>
      <c r="P182" s="2">
        <v>1265.05</v>
      </c>
      <c r="Q182" s="3">
        <v>4.6749999999999998</v>
      </c>
      <c r="R182" s="2">
        <v>18176926</v>
      </c>
      <c r="S182" s="2">
        <v>15701965.17</v>
      </c>
      <c r="T182" s="2">
        <f t="shared" si="26"/>
        <v>11442195.583716709</v>
      </c>
      <c r="U182" s="11">
        <f>IF(_xlfn.NUMBERVALUE(L182)&gt;0,L182,U181)</f>
        <v>3297407.6362084402</v>
      </c>
    </row>
    <row r="183" spans="1:22" x14ac:dyDescent="0.25">
      <c r="A183" s="13">
        <v>45716</v>
      </c>
      <c r="B183" s="8">
        <f t="shared" si="18"/>
        <v>2.4254352763058291</v>
      </c>
      <c r="C183" s="8">
        <f t="shared" si="19"/>
        <v>2.7720801068321661</v>
      </c>
      <c r="D183" s="8">
        <f t="shared" si="20"/>
        <v>0.44226457399103136</v>
      </c>
      <c r="E183" s="8">
        <f t="shared" si="21"/>
        <v>1.7082157676348544</v>
      </c>
      <c r="F183" s="8">
        <f>PRODUCT($K$2:K183)-1</f>
        <v>1.9836382121334597</v>
      </c>
      <c r="G183" s="8">
        <f t="shared" si="22"/>
        <v>8.3058251382251829</v>
      </c>
      <c r="H183" s="8">
        <f t="shared" si="23"/>
        <v>7.1171351385927064</v>
      </c>
      <c r="I183" s="8">
        <f t="shared" si="24"/>
        <v>3.1793802194634209</v>
      </c>
      <c r="J183" s="8"/>
      <c r="K183" s="20">
        <f t="shared" si="25"/>
        <v>1.0038958333333334</v>
      </c>
      <c r="L183" s="2" t="s">
        <v>61</v>
      </c>
      <c r="M183" s="2">
        <v>90500000</v>
      </c>
      <c r="N183" s="2">
        <v>88364538.958638102</v>
      </c>
      <c r="O183" s="2">
        <v>25730</v>
      </c>
      <c r="P183" s="2">
        <v>1305.3599999999999</v>
      </c>
      <c r="Q183" s="3">
        <v>4.6749999999999998</v>
      </c>
      <c r="R183" s="2">
        <v>18157191</v>
      </c>
      <c r="S183" s="2">
        <v>15735537.26</v>
      </c>
      <c r="T183" s="2">
        <f t="shared" si="26"/>
        <v>11442195.583716709</v>
      </c>
      <c r="U183" s="11">
        <f>IF(_xlfn.NUMBERVALUE(L183)&gt;0,L183,U182)</f>
        <v>3297407.6362084402</v>
      </c>
    </row>
    <row r="184" spans="1:22" x14ac:dyDescent="0.25">
      <c r="A184" s="13">
        <v>45747</v>
      </c>
      <c r="B184" s="8">
        <f t="shared" si="18"/>
        <v>2.8531415594246781</v>
      </c>
      <c r="C184" s="8">
        <f t="shared" si="19"/>
        <v>3.1369247119706944</v>
      </c>
      <c r="D184" s="8">
        <f t="shared" si="20"/>
        <v>0.44282511210762321</v>
      </c>
      <c r="E184" s="8">
        <f t="shared" si="21"/>
        <v>1.7113278008298751</v>
      </c>
      <c r="F184" s="8">
        <f>PRODUCT($K$2:K184)-1</f>
        <v>1.9952619693348965</v>
      </c>
      <c r="G184" s="8">
        <f t="shared" si="22"/>
        <v>8.4559155457972786</v>
      </c>
      <c r="H184" s="8">
        <f t="shared" si="23"/>
        <v>7.3703753098952927</v>
      </c>
      <c r="I184" s="8">
        <f t="shared" si="24"/>
        <v>3.2859944429774757</v>
      </c>
      <c r="J184" s="8"/>
      <c r="K184" s="20">
        <f t="shared" si="25"/>
        <v>1.0038958333333334</v>
      </c>
      <c r="L184" s="2">
        <v>2809521.9151598401</v>
      </c>
      <c r="M184" s="2">
        <v>101800000</v>
      </c>
      <c r="N184" s="2">
        <v>96911368.403277695</v>
      </c>
      <c r="O184" s="2">
        <v>25740</v>
      </c>
      <c r="P184" s="2">
        <v>1306.8599999999999</v>
      </c>
      <c r="Q184" s="3">
        <v>4.6749999999999998</v>
      </c>
      <c r="R184" s="2">
        <v>18450042</v>
      </c>
      <c r="S184" s="2">
        <v>16226458.02</v>
      </c>
      <c r="T184" s="2">
        <f t="shared" si="26"/>
        <v>11734081.158466</v>
      </c>
      <c r="U184" s="11">
        <f>IF(_xlfn.NUMBERVALUE(L184)&gt;0,L184,U183)</f>
        <v>2809521.9151598401</v>
      </c>
      <c r="V184" s="3">
        <v>6.93</v>
      </c>
    </row>
    <row r="185" spans="1:22" x14ac:dyDescent="0.25">
      <c r="A185" s="13">
        <v>45777</v>
      </c>
      <c r="B185" s="8">
        <f t="shared" si="18"/>
        <v>3.5912187736563208</v>
      </c>
      <c r="C185" s="8">
        <f t="shared" si="19"/>
        <v>3.4721348392564169</v>
      </c>
      <c r="D185" s="8">
        <f t="shared" si="20"/>
        <v>0.46748878923766823</v>
      </c>
      <c r="E185" s="8">
        <f t="shared" si="21"/>
        <v>1.5441908713692944</v>
      </c>
      <c r="F185" s="8">
        <f>PRODUCT($K$2:K185)-1</f>
        <v>2.0069310107570972</v>
      </c>
      <c r="G185" s="8">
        <f t="shared" si="22"/>
        <v>8.5950781174724415</v>
      </c>
      <c r="H185" s="8">
        <f t="shared" si="23"/>
        <v>7.4839145952816466</v>
      </c>
      <c r="I185" s="8">
        <f t="shared" si="24"/>
        <v>3.2859944429774757</v>
      </c>
      <c r="J185" s="8"/>
      <c r="K185" s="20">
        <f t="shared" si="25"/>
        <v>1.0038958333333334</v>
      </c>
      <c r="L185" s="2" t="s">
        <v>61</v>
      </c>
      <c r="M185" s="2">
        <v>121300000</v>
      </c>
      <c r="N185" s="2">
        <v>104763982.21660019</v>
      </c>
      <c r="O185" s="2">
        <v>26180</v>
      </c>
      <c r="P185" s="2">
        <v>1226.3</v>
      </c>
      <c r="Q185" s="3">
        <v>4.6749999999999998</v>
      </c>
      <c r="R185" s="2">
        <v>18721571</v>
      </c>
      <c r="S185" s="2">
        <v>16446560.51</v>
      </c>
      <c r="T185" s="2">
        <f t="shared" si="26"/>
        <v>11734081.158466</v>
      </c>
      <c r="U185" s="11">
        <f>IF(_xlfn.NUMBERVALUE(L185)&gt;0,L185,U184)</f>
        <v>2809521.9151598401</v>
      </c>
    </row>
    <row r="186" spans="1:22" x14ac:dyDescent="0.25">
      <c r="A186" s="13">
        <v>45808</v>
      </c>
      <c r="B186" s="8">
        <f t="shared" si="18"/>
        <v>3.4738834216502648</v>
      </c>
      <c r="C186" s="8">
        <f t="shared" si="19"/>
        <v>3.4348286492051141</v>
      </c>
      <c r="D186" s="8">
        <f t="shared" si="20"/>
        <v>0.46860986547085193</v>
      </c>
      <c r="E186" s="8">
        <f t="shared" si="21"/>
        <v>1.7647302904564315</v>
      </c>
      <c r="F186" s="8">
        <f>PRODUCT($K$2:K186)-1</f>
        <v>2.0186455128198388</v>
      </c>
      <c r="G186" s="8">
        <f t="shared" si="22"/>
        <v>8.724012435653794</v>
      </c>
      <c r="H186" s="8">
        <f t="shared" si="23"/>
        <v>7.5968241548614994</v>
      </c>
      <c r="I186" s="8">
        <f t="shared" si="24"/>
        <v>3.2859944429774757</v>
      </c>
      <c r="J186" s="8"/>
      <c r="K186" s="20">
        <f t="shared" si="25"/>
        <v>1.0038958333333334</v>
      </c>
      <c r="L186" s="2" t="s">
        <v>61</v>
      </c>
      <c r="M186" s="2">
        <v>118200000</v>
      </c>
      <c r="N186" s="2">
        <v>103890049.48165751</v>
      </c>
      <c r="O186" s="2">
        <v>26200</v>
      </c>
      <c r="P186" s="2">
        <v>1332.6</v>
      </c>
      <c r="Q186" s="3">
        <v>4.6749999999999998</v>
      </c>
      <c r="R186" s="2">
        <v>18973143</v>
      </c>
      <c r="S186" s="2">
        <v>16665442.24</v>
      </c>
      <c r="T186" s="2">
        <f t="shared" si="26"/>
        <v>11734081.158466</v>
      </c>
      <c r="U186" s="11">
        <f>IF(_xlfn.NUMBERVALUE(L186)&gt;0,L186,U185)</f>
        <v>2809521.9151598401</v>
      </c>
    </row>
    <row r="187" spans="1:22" x14ac:dyDescent="0.25">
      <c r="A187" s="13">
        <v>45838</v>
      </c>
      <c r="B187" s="8">
        <f t="shared" si="18"/>
        <v>3.5230885692657079</v>
      </c>
      <c r="C187" s="8">
        <f t="shared" si="19"/>
        <v>3.4772026538315455</v>
      </c>
      <c r="D187" s="8">
        <f t="shared" si="20"/>
        <v>0.47421524663677128</v>
      </c>
      <c r="E187" s="8">
        <f t="shared" si="21"/>
        <v>1.8549170124481327</v>
      </c>
      <c r="F187" s="8">
        <f>PRODUCT($K$2:K187)-1</f>
        <v>2.0304056526301997</v>
      </c>
      <c r="G187" s="8">
        <f t="shared" si="22"/>
        <v>9.0373079864122126</v>
      </c>
      <c r="H187" s="8">
        <f t="shared" si="23"/>
        <v>7.8535593982743865</v>
      </c>
      <c r="I187" s="8">
        <f t="shared" si="24"/>
        <v>3.4202198351708875</v>
      </c>
      <c r="J187" s="8"/>
      <c r="K187" s="20">
        <f t="shared" si="25"/>
        <v>1.0038958333333334</v>
      </c>
      <c r="L187" s="2">
        <v>3099631.8264578399</v>
      </c>
      <c r="M187" s="2">
        <v>119500000</v>
      </c>
      <c r="N187" s="2">
        <v>104882700.5592059</v>
      </c>
      <c r="O187" s="2">
        <v>26300</v>
      </c>
      <c r="P187" s="2">
        <v>1376.07</v>
      </c>
      <c r="Q187" s="3">
        <v>4.6749999999999998</v>
      </c>
      <c r="R187" s="2">
        <v>19584434</v>
      </c>
      <c r="S187" s="2">
        <v>17163138.399999999</v>
      </c>
      <c r="T187" s="2">
        <f t="shared" si="26"/>
        <v>12101559.853662411</v>
      </c>
      <c r="U187" s="11">
        <f>IF(_xlfn.NUMBERVALUE(L187)&gt;0,L187,U186)</f>
        <v>3099631.8264578399</v>
      </c>
      <c r="V187" s="3">
        <v>8.19</v>
      </c>
    </row>
    <row r="188" spans="1:22" x14ac:dyDescent="0.25">
      <c r="A188" s="13">
        <v>45869</v>
      </c>
      <c r="B188" s="8">
        <f t="shared" si="18"/>
        <v>3.5950037850113548</v>
      </c>
      <c r="C188" s="8">
        <f t="shared" si="19"/>
        <v>3.4711350584149789</v>
      </c>
      <c r="D188" s="8">
        <f t="shared" si="20"/>
        <v>0.47869955156950672</v>
      </c>
      <c r="E188" s="8">
        <f t="shared" si="21"/>
        <v>2.1172614107883816</v>
      </c>
      <c r="F188" s="8">
        <f>PRODUCT($K$2:K188)-1</f>
        <v>2.0422116079852386</v>
      </c>
      <c r="G188" s="8">
        <f t="shared" si="22"/>
        <v>8.9851985788995705</v>
      </c>
      <c r="H188" s="8">
        <f t="shared" si="23"/>
        <v>7.8804740513061766</v>
      </c>
      <c r="I188" s="8">
        <f t="shared" si="24"/>
        <v>3.4202198351708875</v>
      </c>
      <c r="J188" s="8"/>
      <c r="K188" s="20">
        <f t="shared" si="25"/>
        <v>1.0038958333333334</v>
      </c>
      <c r="L188" s="2" t="s">
        <v>61</v>
      </c>
      <c r="M188" s="2">
        <v>121400000</v>
      </c>
      <c r="N188" s="2">
        <v>104740561.406169</v>
      </c>
      <c r="O188" s="2">
        <v>26380</v>
      </c>
      <c r="P188" s="2">
        <v>1502.52</v>
      </c>
      <c r="Q188" s="3">
        <v>4.6749999999999998</v>
      </c>
      <c r="R188" s="2">
        <v>19482760</v>
      </c>
      <c r="S188" s="2">
        <v>17215314.015951999</v>
      </c>
      <c r="T188" s="2">
        <f t="shared" si="26"/>
        <v>12101559.853662411</v>
      </c>
      <c r="U188" s="11">
        <f>IF(_xlfn.NUMBERVALUE(L188)&gt;0,L188,U187)</f>
        <v>3099631.8264578399</v>
      </c>
    </row>
    <row r="189" spans="1:22" x14ac:dyDescent="0.25">
      <c r="A189" s="13">
        <v>45900</v>
      </c>
      <c r="B189" s="8">
        <f t="shared" si="18"/>
        <v>3.943224829674489</v>
      </c>
      <c r="C189" s="8">
        <f t="shared" si="19"/>
        <v>3.7958410095966002</v>
      </c>
      <c r="D189" s="8">
        <f t="shared" si="20"/>
        <v>0.48553811659192836</v>
      </c>
      <c r="E189" s="8">
        <f t="shared" si="21"/>
        <v>2.4900622406639004</v>
      </c>
      <c r="F189" s="8">
        <f>PRODUCT($K$2:K189)-1</f>
        <v>2.0540635573746813</v>
      </c>
      <c r="G189" s="8">
        <f t="shared" si="22"/>
        <v>9.0891078351179093</v>
      </c>
      <c r="H189" s="8">
        <f t="shared" si="23"/>
        <v>8.0045300204554106</v>
      </c>
      <c r="I189" s="8">
        <f t="shared" si="24"/>
        <v>3.4202198351708875</v>
      </c>
      <c r="J189" s="8"/>
      <c r="K189" s="20">
        <f t="shared" si="25"/>
        <v>1.0038958333333334</v>
      </c>
      <c r="L189" s="2" t="s">
        <v>61</v>
      </c>
      <c r="M189" s="2">
        <v>130600000</v>
      </c>
      <c r="N189" s="2">
        <v>112347104.9738204</v>
      </c>
      <c r="O189" s="2">
        <v>26502</v>
      </c>
      <c r="P189" s="2">
        <v>1682.21</v>
      </c>
      <c r="Q189" s="3">
        <v>4.6749999999999998</v>
      </c>
      <c r="R189" s="2">
        <v>19685504</v>
      </c>
      <c r="S189" s="2">
        <v>17455803.707394</v>
      </c>
      <c r="T189" s="2">
        <f t="shared" si="26"/>
        <v>12101559.853662411</v>
      </c>
      <c r="U189" s="11">
        <f>IF(_xlfn.NUMBERVALUE(L189)&gt;0,L189,U188)</f>
        <v>3099631.8264578399</v>
      </c>
    </row>
    <row r="190" spans="1:22" x14ac:dyDescent="0.25">
      <c r="A190" s="13">
        <v>45930</v>
      </c>
      <c r="B190" s="8">
        <f t="shared" si="18"/>
        <v>4.177895533686601</v>
      </c>
      <c r="C190" s="8">
        <f t="shared" si="19"/>
        <v>4.2717500215357269</v>
      </c>
      <c r="D190" s="8">
        <f t="shared" si="20"/>
        <v>0.48239910313901335</v>
      </c>
      <c r="E190" s="8">
        <f t="shared" si="21"/>
        <v>2.4475103734439836</v>
      </c>
      <c r="F190" s="8">
        <f>PRODUCT($K$2:K190)-1</f>
        <v>2.0659616799836202</v>
      </c>
      <c r="G190" s="8">
        <f t="shared" si="22"/>
        <v>9.2404088021304212</v>
      </c>
      <c r="H190" s="8">
        <f t="shared" si="23"/>
        <v>8.1720861346309981</v>
      </c>
      <c r="I190" s="8">
        <f t="shared" si="24"/>
        <v>3.5451784010905056</v>
      </c>
      <c r="J190" s="8"/>
      <c r="K190" s="20">
        <f t="shared" si="25"/>
        <v>1.0038958333333334</v>
      </c>
      <c r="L190" s="2">
        <v>3237106.7014661157</v>
      </c>
      <c r="M190" s="2">
        <v>136800000</v>
      </c>
      <c r="N190" s="2">
        <v>123495723.0400414</v>
      </c>
      <c r="O190" s="2">
        <v>26446</v>
      </c>
      <c r="P190" s="2">
        <v>1661.7</v>
      </c>
      <c r="Q190" s="3">
        <v>4.6749999999999998</v>
      </c>
      <c r="R190" s="2">
        <v>19980717</v>
      </c>
      <c r="S190" s="2">
        <v>17780620.952978</v>
      </c>
      <c r="T190" s="2">
        <f t="shared" si="26"/>
        <v>12443668.079292238</v>
      </c>
      <c r="U190" s="11">
        <f>IF(_xlfn.NUMBERVALUE(L190)&gt;0,L190,U189)</f>
        <v>3237106.7014661157</v>
      </c>
      <c r="V190" s="3">
        <v>8.23</v>
      </c>
    </row>
    <row r="191" spans="1:22" x14ac:dyDescent="0.25">
      <c r="A191" s="13">
        <v>45961</v>
      </c>
      <c r="B191" s="8">
        <f t="shared" si="18"/>
        <v>4.5942467827403481</v>
      </c>
      <c r="C191" s="8">
        <f t="shared" si="19"/>
        <v>4.4192088173696238</v>
      </c>
      <c r="D191" s="8">
        <f t="shared" si="20"/>
        <v>0.4768497757847534</v>
      </c>
      <c r="E191" s="8">
        <f t="shared" si="21"/>
        <v>2.4017634854771788</v>
      </c>
      <c r="F191" s="8">
        <f>PRODUCT($K$2:K191)-1</f>
        <v>2.0779061556952234</v>
      </c>
      <c r="G191" s="8">
        <f t="shared" si="22"/>
        <v>8.5984161249387547</v>
      </c>
      <c r="H191" s="8">
        <f t="shared" si="23"/>
        <v>8.289140175326196</v>
      </c>
      <c r="I191" s="8">
        <f t="shared" si="24"/>
        <v>3.5451784010905056</v>
      </c>
      <c r="J191" s="8"/>
      <c r="K191" s="20">
        <f t="shared" si="25"/>
        <v>1.0038958333333334</v>
      </c>
      <c r="L191" s="2" t="s">
        <v>61</v>
      </c>
      <c r="M191" s="2">
        <v>147800000</v>
      </c>
      <c r="N191" s="2">
        <v>126950084.59658881</v>
      </c>
      <c r="O191" s="2">
        <v>26347</v>
      </c>
      <c r="P191" s="2">
        <v>1639.65</v>
      </c>
      <c r="Q191" s="3">
        <v>4.6749999999999998</v>
      </c>
      <c r="R191" s="2">
        <v>18728084</v>
      </c>
      <c r="S191" s="2">
        <v>18007537</v>
      </c>
      <c r="T191" s="2">
        <f t="shared" si="26"/>
        <v>12443668.079292238</v>
      </c>
      <c r="U191" s="11">
        <f>IF(_xlfn.NUMBERVALUE(L191)&gt;0,L191,U190)</f>
        <v>3237106.7014661157</v>
      </c>
    </row>
    <row r="192" spans="1:22" x14ac:dyDescent="0.25">
      <c r="A192" s="13">
        <v>45991</v>
      </c>
      <c r="B192" s="8">
        <f t="shared" si="18"/>
        <v>4.8629825889477667</v>
      </c>
      <c r="C192" s="8">
        <f t="shared" si="19"/>
        <v>4.7838301845699469</v>
      </c>
      <c r="D192" s="8">
        <f t="shared" si="20"/>
        <v>0.48049327354260085</v>
      </c>
      <c r="E192" s="8">
        <f t="shared" si="21"/>
        <v>2.5082780082987552</v>
      </c>
      <c r="F192" s="8">
        <f>PRODUCT($K$2:K192)-1</f>
        <v>2.0898971650934528</v>
      </c>
      <c r="G192" s="8">
        <f t="shared" si="22"/>
        <v>8.7061343895233811</v>
      </c>
      <c r="H192" s="8">
        <f t="shared" si="23"/>
        <v>8.4129827428428765</v>
      </c>
      <c r="I192" s="8">
        <f t="shared" si="24"/>
        <v>3.5451784010905056</v>
      </c>
      <c r="J192" s="8"/>
      <c r="K192" s="20">
        <f t="shared" si="25"/>
        <v>1.0038958333333334</v>
      </c>
      <c r="L192" s="2" t="s">
        <v>61</v>
      </c>
      <c r="M192" s="2">
        <v>154900000</v>
      </c>
      <c r="N192" s="2">
        <v>135491684.48169389</v>
      </c>
      <c r="O192" s="2">
        <v>26412</v>
      </c>
      <c r="P192" s="2">
        <v>1690.99</v>
      </c>
      <c r="Q192" s="3">
        <v>4.6749999999999998</v>
      </c>
      <c r="R192" s="2">
        <v>18938260</v>
      </c>
      <c r="S192" s="2">
        <v>18247613</v>
      </c>
      <c r="T192" s="2">
        <f t="shared" si="26"/>
        <v>12443668.079292238</v>
      </c>
      <c r="U192" s="11">
        <f>IF(_xlfn.NUMBERVALUE(L192)&gt;0,L192,U191)</f>
        <v>3237106.7014661157</v>
      </c>
    </row>
    <row r="193" spans="1:22" x14ac:dyDescent="0.25">
      <c r="A193" s="13">
        <v>46022</v>
      </c>
      <c r="B193" s="8">
        <f t="shared" si="18"/>
        <v>4.783497350492051</v>
      </c>
      <c r="C193" s="8">
        <f t="shared" si="19"/>
        <v>4.893185294791226</v>
      </c>
      <c r="D193" s="8">
        <f t="shared" si="20"/>
        <v>0.47853139013452917</v>
      </c>
      <c r="E193" s="8">
        <f t="shared" si="21"/>
        <v>2.7022614107883816</v>
      </c>
      <c r="F193" s="8">
        <f>PRODUCT($K$2:K193)-1</f>
        <v>2.1022671364727952</v>
      </c>
      <c r="G193" s="8">
        <f t="shared" si="22"/>
        <v>8.9655774706790403</v>
      </c>
      <c r="H193" s="8">
        <f t="shared" si="23"/>
        <v>8.7061227984924869</v>
      </c>
      <c r="I193" s="8">
        <f t="shared" si="24"/>
        <v>3.6962089085913128</v>
      </c>
      <c r="J193" s="8"/>
      <c r="K193" s="20">
        <f t="shared" si="25"/>
        <v>1.0040033602150538</v>
      </c>
      <c r="L193" s="2">
        <v>3710894.9274303191</v>
      </c>
      <c r="M193" s="2">
        <v>152800000</v>
      </c>
      <c r="N193" s="2">
        <v>138053431.21659809</v>
      </c>
      <c r="O193" s="2">
        <v>26377</v>
      </c>
      <c r="P193" s="2">
        <v>1784.49</v>
      </c>
      <c r="Q193" s="3">
        <v>4.8040322580645158</v>
      </c>
      <c r="R193" s="2">
        <v>19444476</v>
      </c>
      <c r="S193" s="2">
        <v>18815882</v>
      </c>
      <c r="T193" s="2">
        <f t="shared" si="26"/>
        <v>12857155.370514115</v>
      </c>
      <c r="U193" s="11">
        <f>IF(_xlfn.NUMBERVALUE(L193)&gt;0,L193,U192)</f>
        <v>3710894.9274303191</v>
      </c>
      <c r="V193" s="3">
        <v>8.4600000000000009</v>
      </c>
    </row>
    <row r="194" spans="1:22" x14ac:dyDescent="0.25">
      <c r="A194" s="13">
        <v>46053</v>
      </c>
      <c r="B194" s="8">
        <f t="shared" si="18"/>
        <v>5.5102195306585919</v>
      </c>
      <c r="C194" s="8">
        <f t="shared" si="19"/>
        <v>5.376423405980125</v>
      </c>
      <c r="D194" s="8">
        <f t="shared" si="20"/>
        <v>0.46356502242152464</v>
      </c>
      <c r="E194" s="8">
        <f t="shared" si="21"/>
        <v>2.7946887966804979</v>
      </c>
      <c r="F194" s="8">
        <f>PRODUCT($K$2:K194)-1</f>
        <v>2.1149993578454018</v>
      </c>
      <c r="G194" s="8">
        <f t="shared" si="22"/>
        <v>9.0343666652316266</v>
      </c>
      <c r="H194" s="8">
        <f t="shared" si="23"/>
        <v>8.7061227984924869</v>
      </c>
      <c r="I194" s="8">
        <f t="shared" si="24"/>
        <v>3.6962089085913128</v>
      </c>
      <c r="J194" s="8"/>
      <c r="K194" s="20">
        <f t="shared" si="25"/>
        <v>1.0041041666666666</v>
      </c>
      <c r="L194" s="2" t="s">
        <v>61</v>
      </c>
      <c r="M194" s="2">
        <v>172000000</v>
      </c>
      <c r="N194" s="2">
        <v>149373740.35454771</v>
      </c>
      <c r="O194" s="2">
        <v>26110</v>
      </c>
      <c r="P194" s="2">
        <v>1829.04</v>
      </c>
      <c r="Q194" s="3">
        <v>4.9249999999999998</v>
      </c>
      <c r="R194" s="2">
        <v>19578695</v>
      </c>
      <c r="S194" s="2">
        <v>18815882</v>
      </c>
      <c r="T194" s="2">
        <f t="shared" si="26"/>
        <v>12857155.370514115</v>
      </c>
      <c r="U194" s="11">
        <f>IF(_xlfn.NUMBERVALUE(L194)&gt;0,L194,U193)</f>
        <v>3710894.9274303191</v>
      </c>
    </row>
    <row r="195" spans="1:22" x14ac:dyDescent="0.25">
      <c r="A195" s="13">
        <v>46081</v>
      </c>
      <c r="B195" s="8">
        <f t="shared" ref="B195:B203" si="27">M195/$M$2-1</f>
        <v>6.0779712339137015</v>
      </c>
      <c r="C195" s="8">
        <f t="shared" ref="C195:C203" si="28">N195/N$2-1</f>
        <v>6.0844922663805008</v>
      </c>
      <c r="D195" s="8">
        <f t="shared" ref="D195:D203" si="29">O195/O$2-1</f>
        <v>0.47029147982062791</v>
      </c>
      <c r="E195" s="8">
        <f t="shared" ref="E195:E203" si="30">P195/P$2-1</f>
        <v>2.9010995850622403</v>
      </c>
      <c r="F195" s="8">
        <f>PRODUCT($K$2:K195)-1</f>
        <v>2.1277838343765589</v>
      </c>
      <c r="G195" s="8">
        <f t="shared" ref="G195:G200" si="31">R195/R$2-1</f>
        <v>9.0663337371948227</v>
      </c>
      <c r="H195" s="8">
        <f t="shared" ref="H195:H199" si="32">S195/S$2-1</f>
        <v>8.8971756326093931</v>
      </c>
      <c r="I195" s="8">
        <f t="shared" ref="I195:I203" si="33">T195/T$2-1</f>
        <v>3.6962089085913128</v>
      </c>
      <c r="J195" s="8"/>
      <c r="K195" s="20">
        <f t="shared" ref="K195:K203" si="34">1+Q195%/12</f>
        <v>1.0041041666666666</v>
      </c>
      <c r="L195" s="2" t="s">
        <v>61</v>
      </c>
      <c r="M195" s="2">
        <v>187000000</v>
      </c>
      <c r="N195" s="2">
        <v>165960922.1291132</v>
      </c>
      <c r="O195" s="2">
        <v>26230</v>
      </c>
      <c r="P195" s="2">
        <v>1880.33</v>
      </c>
      <c r="Q195" s="3">
        <v>4.9249999999999998</v>
      </c>
      <c r="R195" s="2">
        <v>19641068</v>
      </c>
      <c r="S195" s="2">
        <v>19186249</v>
      </c>
      <c r="T195" s="2">
        <f t="shared" si="26"/>
        <v>12857155.370514115</v>
      </c>
      <c r="U195" s="11">
        <f>IF(_xlfn.NUMBERVALUE(L195)&gt;0,L195,U194)</f>
        <v>3710894.9274303191</v>
      </c>
    </row>
    <row r="196" spans="1:22" x14ac:dyDescent="0.25">
      <c r="A196" s="13">
        <v>46112</v>
      </c>
      <c r="B196" s="8">
        <f t="shared" si="27"/>
        <v>5.6199848599545801</v>
      </c>
      <c r="C196" s="8">
        <f t="shared" si="28"/>
        <v>5.3044851472957095</v>
      </c>
      <c r="D196" s="8">
        <f t="shared" si="29"/>
        <v>0.47741031390134525</v>
      </c>
      <c r="E196" s="8">
        <f t="shared" si="30"/>
        <v>2.4740456431535272</v>
      </c>
      <c r="F196" s="8">
        <f>PRODUCT($K$2:K196)-1</f>
        <v>2.1408856331935411</v>
      </c>
      <c r="G196" s="8">
        <f t="shared" si="31"/>
        <v>9.0632719750876909</v>
      </c>
      <c r="H196" s="8">
        <f t="shared" si="32"/>
        <v>8.8974722448335317</v>
      </c>
      <c r="I196" s="8">
        <f t="shared" si="33"/>
        <v>3.8183724297394717</v>
      </c>
      <c r="J196" s="8"/>
      <c r="K196" s="20">
        <f t="shared" si="34"/>
        <v>1.0041888440860216</v>
      </c>
      <c r="L196" s="2">
        <v>3143977.9418364973</v>
      </c>
      <c r="M196" s="2">
        <v>174900000</v>
      </c>
      <c r="N196" s="2">
        <v>147688518.7043972</v>
      </c>
      <c r="O196" s="2">
        <v>26357</v>
      </c>
      <c r="P196" s="2">
        <v>1674.49</v>
      </c>
      <c r="Q196" s="3">
        <v>5.0266129032258062</v>
      </c>
      <c r="R196" s="2">
        <v>19635094</v>
      </c>
      <c r="S196" s="2">
        <v>19186824</v>
      </c>
      <c r="T196" s="2">
        <f t="shared" si="26"/>
        <v>13191611.397190772</v>
      </c>
      <c r="U196" s="11">
        <f>IF(_xlfn.NUMBERVALUE(L196)&gt;0,L196,U195)</f>
        <v>3143977.9418364973</v>
      </c>
      <c r="V196" s="3">
        <v>7.83</v>
      </c>
    </row>
    <row r="197" spans="1:22" x14ac:dyDescent="0.25">
      <c r="A197" s="13">
        <v>46142</v>
      </c>
      <c r="B197" s="8">
        <f t="shared" si="27"/>
        <v>5.2831188493565477</v>
      </c>
      <c r="C197" s="8">
        <f t="shared" si="28"/>
        <v>5.2826890508506317</v>
      </c>
      <c r="D197" s="8">
        <f t="shared" si="29"/>
        <v>0.4780269058295965</v>
      </c>
      <c r="E197" s="8">
        <f t="shared" si="30"/>
        <v>2.8466804979253109</v>
      </c>
      <c r="F197" s="8">
        <f>PRODUCT($K$2:K197)-1</f>
        <v>2.1546924429561209</v>
      </c>
      <c r="G197" s="8">
        <f t="shared" si="31"/>
        <v>9.1572876498336377</v>
      </c>
      <c r="H197" s="8">
        <f t="shared" si="32"/>
        <v>9.0319521004788097</v>
      </c>
      <c r="I197" s="8">
        <f t="shared" si="33"/>
        <v>3.8183724297394717</v>
      </c>
      <c r="J197" s="8"/>
      <c r="K197" s="20">
        <f t="shared" si="34"/>
        <v>1.0043958333333334</v>
      </c>
      <c r="L197" s="2" t="s">
        <v>61</v>
      </c>
      <c r="M197" s="2">
        <v>166000000</v>
      </c>
      <c r="N197" s="2">
        <v>147177924.56033891</v>
      </c>
      <c r="O197" s="2">
        <v>26368</v>
      </c>
      <c r="P197" s="2">
        <v>1854.1</v>
      </c>
      <c r="Q197" s="3">
        <v>5.2750000000000004</v>
      </c>
      <c r="R197" s="2">
        <v>19818534</v>
      </c>
      <c r="S197" s="2">
        <v>19447521</v>
      </c>
      <c r="T197" s="2">
        <f t="shared" si="26"/>
        <v>13191611.397190772</v>
      </c>
      <c r="U197" s="11">
        <f>IF(_xlfn.NUMBERVALUE(L197)&gt;0,L197,U196)</f>
        <v>3143977.9418364973</v>
      </c>
    </row>
    <row r="198" spans="1:22" x14ac:dyDescent="0.25">
      <c r="A198" s="13">
        <v>46173</v>
      </c>
      <c r="B198" s="8">
        <f t="shared" si="27"/>
        <v>5.0181680545041631</v>
      </c>
      <c r="C198" s="8">
        <f t="shared" si="28"/>
        <v>5.2394025909178117</v>
      </c>
      <c r="D198" s="8">
        <f t="shared" si="29"/>
        <v>0.47954035874439471</v>
      </c>
      <c r="E198" s="8">
        <f t="shared" si="30"/>
        <v>2.8661618257261412</v>
      </c>
      <c r="F198" s="8">
        <f>PRODUCT($K$2:K198)-1</f>
        <v>2.1700970096836207</v>
      </c>
      <c r="G198" s="8">
        <f t="shared" si="31"/>
        <v>9.2374710685518995</v>
      </c>
      <c r="H198" s="8">
        <f t="shared" si="32"/>
        <v>9.1641792507626807</v>
      </c>
      <c r="I198" s="8">
        <f t="shared" si="33"/>
        <v>3.8183724297394717</v>
      </c>
      <c r="J198" s="8"/>
      <c r="K198" s="20">
        <f t="shared" si="34"/>
        <v>1.0048830645161291</v>
      </c>
      <c r="L198" s="2" t="s">
        <v>61</v>
      </c>
      <c r="M198" s="2">
        <v>159000000</v>
      </c>
      <c r="N198" s="2">
        <v>146163898.35549051</v>
      </c>
      <c r="O198" s="2">
        <v>26395</v>
      </c>
      <c r="P198" s="2">
        <v>1863.49</v>
      </c>
      <c r="Q198" s="3">
        <v>5.8596774193548393</v>
      </c>
      <c r="R198" s="2">
        <v>19974985</v>
      </c>
      <c r="S198" s="2">
        <v>19703851</v>
      </c>
      <c r="T198" s="2">
        <f t="shared" si="26"/>
        <v>13191611.397190772</v>
      </c>
      <c r="U198" s="11">
        <f>IF(_xlfn.NUMBERVALUE(L198)&gt;0,L198,U197)</f>
        <v>3143977.9418364973</v>
      </c>
    </row>
    <row r="199" spans="1:22" x14ac:dyDescent="0.25">
      <c r="A199" s="13">
        <v>46203</v>
      </c>
      <c r="B199" s="8">
        <f t="shared" si="27"/>
        <v>4.5639666919000756</v>
      </c>
      <c r="C199" s="8">
        <f t="shared" si="28"/>
        <v>4.5008942052443048</v>
      </c>
      <c r="D199" s="8">
        <f t="shared" si="29"/>
        <v>0.48352017937219727</v>
      </c>
      <c r="E199" s="8">
        <f t="shared" si="30"/>
        <v>2.8589419087136929</v>
      </c>
      <c r="F199" s="8">
        <f>PRODUCT($K$2:K199)-1</f>
        <v>2.1856833199812318</v>
      </c>
      <c r="G199" s="8">
        <f t="shared" si="31"/>
        <v>9.462788366329022</v>
      </c>
      <c r="H199" s="8">
        <f t="shared" si="32"/>
        <v>9.39453604173824</v>
      </c>
      <c r="I199" s="8">
        <f t="shared" si="33"/>
        <v>3.9636451912708148</v>
      </c>
      <c r="J199" s="8"/>
      <c r="K199" s="20">
        <f t="shared" si="34"/>
        <v>1.0049166666666667</v>
      </c>
      <c r="L199" s="2">
        <v>3497355.7144848728</v>
      </c>
      <c r="M199" s="2">
        <v>147000000</v>
      </c>
      <c r="N199" s="2">
        <v>128863641.9534779</v>
      </c>
      <c r="O199" s="2">
        <v>26466</v>
      </c>
      <c r="P199" s="2">
        <v>1860.01</v>
      </c>
      <c r="Q199" s="3">
        <v>5.9</v>
      </c>
      <c r="R199" s="6">
        <v>20414616</v>
      </c>
      <c r="S199" s="2">
        <v>20150411</v>
      </c>
      <c r="T199" s="2">
        <f t="shared" si="26"/>
        <v>13589335.285217805</v>
      </c>
      <c r="U199" s="11">
        <f>IF(_xlfn.NUMBERVALUE(L199)&gt;0,L199,U198)</f>
        <v>3497355.7144848728</v>
      </c>
      <c r="V199" s="3">
        <v>8.39</v>
      </c>
    </row>
    <row r="200" spans="1:22" x14ac:dyDescent="0.25">
      <c r="A200" s="13">
        <v>46234</v>
      </c>
      <c r="B200" s="8">
        <f t="shared" si="27"/>
        <v>4.3709311127933388</v>
      </c>
      <c r="C200" s="8">
        <f t="shared" si="28"/>
        <v>4.5992719132780726</v>
      </c>
      <c r="D200" s="8">
        <f t="shared" si="29"/>
        <v>0.48486547085201792</v>
      </c>
      <c r="E200" s="8">
        <f t="shared" si="30"/>
        <v>2.6012033195020745</v>
      </c>
      <c r="F200" s="8">
        <f>PRODUCT($K$2:K200)-1</f>
        <v>2.2013462629711396</v>
      </c>
      <c r="G200" s="8">
        <f t="shared" si="31"/>
        <v>9.4838158145599234</v>
      </c>
      <c r="H200" s="8"/>
      <c r="I200" s="8">
        <f t="shared" si="33"/>
        <v>3.9636451912708148</v>
      </c>
      <c r="J200" s="8"/>
      <c r="K200" s="20">
        <f t="shared" si="34"/>
        <v>1.0049166666666667</v>
      </c>
      <c r="L200" s="2" t="s">
        <v>61</v>
      </c>
      <c r="M200" s="2">
        <v>141900000</v>
      </c>
      <c r="N200" s="2">
        <v>131168232.6747794</v>
      </c>
      <c r="O200" s="2">
        <v>26490</v>
      </c>
      <c r="P200" s="2">
        <v>1735.78</v>
      </c>
      <c r="Q200" s="3">
        <v>5.9</v>
      </c>
      <c r="R200" s="6">
        <v>20455644</v>
      </c>
      <c r="T200" s="2">
        <f t="shared" si="26"/>
        <v>13589335.285217805</v>
      </c>
      <c r="U200" s="11">
        <f>IF(_xlfn.NUMBERVALUE(L200)&gt;0,L200,U199)</f>
        <v>3497355.7144848728</v>
      </c>
    </row>
    <row r="201" spans="1:22" x14ac:dyDescent="0.25">
      <c r="A201" s="13">
        <v>46265</v>
      </c>
      <c r="B201" s="8">
        <f t="shared" si="27"/>
        <v>4.6283118849356546</v>
      </c>
      <c r="C201" s="8">
        <f t="shared" si="28"/>
        <v>5.1006200018600012</v>
      </c>
      <c r="D201" s="8">
        <f t="shared" si="29"/>
        <v>0.48262331838565031</v>
      </c>
      <c r="E201" s="8">
        <f t="shared" si="30"/>
        <v>2.8010788381742735</v>
      </c>
      <c r="F201" s="8">
        <f>PRODUCT($K$2:K201)-1</f>
        <v>2.2170862154307476</v>
      </c>
      <c r="G201" s="8"/>
      <c r="H201" s="8"/>
      <c r="I201" s="8">
        <f t="shared" si="33"/>
        <v>3.9636451912708148</v>
      </c>
      <c r="J201" s="8"/>
      <c r="K201" s="20">
        <f t="shared" si="34"/>
        <v>1.0049166666666667</v>
      </c>
      <c r="L201" s="2" t="s">
        <v>61</v>
      </c>
      <c r="M201" s="2">
        <v>148700000</v>
      </c>
      <c r="N201" s="2">
        <v>142912785.13672099</v>
      </c>
      <c r="O201" s="2">
        <v>26450</v>
      </c>
      <c r="P201" s="2">
        <v>1832.12</v>
      </c>
      <c r="Q201" s="3">
        <v>5.9</v>
      </c>
      <c r="T201" s="2">
        <f t="shared" si="26"/>
        <v>13589335.285217805</v>
      </c>
      <c r="U201" s="11">
        <f>IF(_xlfn.NUMBERVALUE(L201)&gt;0,L201,U200)</f>
        <v>3497355.7144848728</v>
      </c>
    </row>
    <row r="202" spans="1:22" x14ac:dyDescent="0.25">
      <c r="A202" s="13">
        <v>46295</v>
      </c>
      <c r="B202" s="8">
        <f t="shared" si="27"/>
        <v>4.4542013626040875</v>
      </c>
      <c r="C202" s="8">
        <f t="shared" si="28"/>
        <v>4.6993120502766041</v>
      </c>
      <c r="D202" s="8">
        <f t="shared" si="29"/>
        <v>0.48262331838565031</v>
      </c>
      <c r="E202" s="8">
        <f t="shared" si="30"/>
        <v>2.6693360995850619</v>
      </c>
      <c r="F202" s="8">
        <f>PRODUCT($K$2:K202)-1</f>
        <v>2.2329035559899486</v>
      </c>
      <c r="G202" s="8"/>
      <c r="H202" s="8"/>
      <c r="I202" s="8">
        <f t="shared" si="33"/>
        <v>4.1321132261169664</v>
      </c>
      <c r="J202" s="8"/>
      <c r="K202" s="20">
        <f t="shared" si="34"/>
        <v>1.0049166666666667</v>
      </c>
      <c r="L202" s="2">
        <v>3698333.9895068174</v>
      </c>
      <c r="M202" s="2">
        <v>144100000</v>
      </c>
      <c r="N202" s="2">
        <v>133511767.3646241</v>
      </c>
      <c r="O202" s="2">
        <v>26450</v>
      </c>
      <c r="P202" s="2">
        <v>1768.62</v>
      </c>
      <c r="Q202" s="3">
        <v>5.9</v>
      </c>
      <c r="T202" s="2">
        <f t="shared" si="26"/>
        <v>14050562.573258506</v>
      </c>
      <c r="U202" s="11">
        <f>IF(_xlfn.NUMBERVALUE(L202)&gt;0,L202,U201)</f>
        <v>3698333.9895068174</v>
      </c>
    </row>
    <row r="203" spans="1:22" x14ac:dyDescent="0.25">
      <c r="A203" s="13">
        <v>46326</v>
      </c>
      <c r="B203" s="8">
        <f t="shared" si="27"/>
        <v>4.4125662376987131</v>
      </c>
      <c r="C203" s="8">
        <f t="shared" si="28"/>
        <v>4.6934581055484994</v>
      </c>
      <c r="D203" s="8">
        <f t="shared" si="29"/>
        <v>0.48262331838565031</v>
      </c>
      <c r="E203" s="8">
        <f t="shared" si="30"/>
        <v>2.6377385892116183</v>
      </c>
      <c r="F203" s="8">
        <f>PRODUCT($K$2:K203)-1</f>
        <v>2.2487986651402325</v>
      </c>
      <c r="G203" s="8"/>
      <c r="H203" s="8"/>
      <c r="I203" s="8">
        <f t="shared" si="33"/>
        <v>4.1321132261169664</v>
      </c>
      <c r="J203" s="8"/>
      <c r="K203" s="20">
        <f t="shared" si="34"/>
        <v>1.0049166666666667</v>
      </c>
      <c r="L203" s="2" t="s">
        <v>61</v>
      </c>
      <c r="M203" s="2">
        <v>143000000</v>
      </c>
      <c r="N203" s="2">
        <v>133374633.180742</v>
      </c>
      <c r="O203" s="2">
        <v>26450</v>
      </c>
      <c r="P203" s="2">
        <v>1753.39</v>
      </c>
      <c r="Q203" s="3">
        <v>5.9000000000000012</v>
      </c>
      <c r="T203" s="2">
        <f t="shared" si="26"/>
        <v>14050562.573258506</v>
      </c>
      <c r="U203" s="11">
        <f>IF(_xlfn.NUMBERVALUE(L203)&gt;0,L203,U202)</f>
        <v>3698333.9895068174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3"/>
  <sheetViews>
    <sheetView workbookViewId="0">
      <pane xSplit="1" ySplit="1" topLeftCell="B2" activePane="bottomRight" state="frozen"/>
      <selection pane="topRight"/>
      <selection pane="bottomLeft"/>
      <selection pane="bottomRight" activeCell="G1" sqref="G1:G1048576"/>
    </sheetView>
  </sheetViews>
  <sheetFormatPr defaultRowHeight="15" x14ac:dyDescent="0.25"/>
  <cols>
    <col min="1" max="1" width="10.42578125" bestFit="1" customWidth="1"/>
    <col min="2" max="2" width="16" customWidth="1"/>
    <col min="3" max="3" width="27" customWidth="1"/>
    <col min="4" max="4" width="30" customWidth="1"/>
    <col min="5" max="6" width="20" customWidth="1"/>
  </cols>
  <sheetData>
    <row r="1" spans="1:6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9</v>
      </c>
      <c r="F1" s="1" t="s">
        <v>10</v>
      </c>
    </row>
    <row r="2" spans="1:6" x14ac:dyDescent="0.25">
      <c r="A2" s="13">
        <v>40209</v>
      </c>
      <c r="B2" s="3">
        <v>0.12</v>
      </c>
      <c r="C2" s="3">
        <v>8</v>
      </c>
      <c r="D2" s="3">
        <v>6</v>
      </c>
      <c r="E2" s="3">
        <v>0.25</v>
      </c>
      <c r="F2" s="3">
        <v>0</v>
      </c>
    </row>
    <row r="3" spans="1:6" x14ac:dyDescent="0.25">
      <c r="A3" s="13">
        <v>40237</v>
      </c>
      <c r="B3" s="3">
        <v>0.13</v>
      </c>
      <c r="C3" s="3">
        <v>8</v>
      </c>
      <c r="D3" s="3">
        <v>6</v>
      </c>
      <c r="E3" s="3">
        <v>0.25</v>
      </c>
      <c r="F3" s="3">
        <v>0</v>
      </c>
    </row>
    <row r="4" spans="1:6" x14ac:dyDescent="0.25">
      <c r="A4" s="13">
        <v>40268</v>
      </c>
      <c r="B4" s="3">
        <v>0.09</v>
      </c>
      <c r="C4" s="3">
        <v>8</v>
      </c>
      <c r="D4" s="3">
        <v>6</v>
      </c>
      <c r="E4" s="3">
        <v>0.25</v>
      </c>
      <c r="F4" s="3">
        <v>0</v>
      </c>
    </row>
    <row r="5" spans="1:6" x14ac:dyDescent="0.25">
      <c r="A5" s="13">
        <v>40298</v>
      </c>
      <c r="B5" s="3">
        <v>0.2</v>
      </c>
      <c r="C5" s="3">
        <v>8</v>
      </c>
      <c r="D5" s="3">
        <v>6</v>
      </c>
      <c r="E5" s="3">
        <v>0.25</v>
      </c>
      <c r="F5" s="3">
        <v>0</v>
      </c>
    </row>
    <row r="6" spans="1:6" x14ac:dyDescent="0.25">
      <c r="A6" s="13">
        <v>40329</v>
      </c>
      <c r="B6" s="3">
        <v>0.19</v>
      </c>
      <c r="C6" s="3">
        <v>8</v>
      </c>
      <c r="D6" s="3">
        <v>6</v>
      </c>
      <c r="E6" s="3">
        <v>0.25</v>
      </c>
      <c r="F6" s="3">
        <v>0</v>
      </c>
    </row>
    <row r="7" spans="1:6" x14ac:dyDescent="0.25">
      <c r="A7" s="13">
        <v>40359</v>
      </c>
      <c r="B7" s="3">
        <v>0.09</v>
      </c>
      <c r="C7" s="3">
        <v>8</v>
      </c>
      <c r="D7" s="3">
        <v>6</v>
      </c>
      <c r="E7" s="3">
        <v>0.25</v>
      </c>
      <c r="F7" s="3">
        <v>0</v>
      </c>
    </row>
    <row r="8" spans="1:6" x14ac:dyDescent="0.25">
      <c r="A8" s="13">
        <v>40390</v>
      </c>
      <c r="B8" s="3">
        <v>0.18</v>
      </c>
      <c r="C8" s="3">
        <v>8</v>
      </c>
      <c r="D8" s="3">
        <v>6</v>
      </c>
      <c r="E8" s="3">
        <v>0.25</v>
      </c>
      <c r="F8" s="3">
        <v>0</v>
      </c>
    </row>
    <row r="9" spans="1:6" x14ac:dyDescent="0.25">
      <c r="A9" s="13">
        <v>40421</v>
      </c>
      <c r="B9" s="3">
        <v>0.21</v>
      </c>
      <c r="C9" s="3">
        <v>8</v>
      </c>
      <c r="D9" s="3">
        <v>6</v>
      </c>
      <c r="E9" s="3">
        <v>0.25</v>
      </c>
      <c r="F9" s="3">
        <v>0</v>
      </c>
    </row>
    <row r="10" spans="1:6" x14ac:dyDescent="0.25">
      <c r="A10" s="13">
        <v>40451</v>
      </c>
      <c r="B10" s="3">
        <v>0.15</v>
      </c>
      <c r="C10" s="3">
        <v>8</v>
      </c>
      <c r="D10" s="3">
        <v>6</v>
      </c>
      <c r="E10" s="3">
        <v>0.25</v>
      </c>
      <c r="F10" s="3">
        <v>0</v>
      </c>
    </row>
    <row r="11" spans="1:6" x14ac:dyDescent="0.25">
      <c r="A11" s="13">
        <v>40482</v>
      </c>
      <c r="B11" s="3">
        <v>0.2</v>
      </c>
      <c r="C11" s="3">
        <v>8</v>
      </c>
      <c r="D11" s="3">
        <v>6</v>
      </c>
      <c r="E11" s="3">
        <v>0.25</v>
      </c>
      <c r="F11" s="3">
        <v>0</v>
      </c>
    </row>
    <row r="12" spans="1:6" x14ac:dyDescent="0.25">
      <c r="A12" s="13">
        <v>40512</v>
      </c>
      <c r="B12" s="3">
        <v>0.2</v>
      </c>
      <c r="C12" s="3">
        <v>9</v>
      </c>
      <c r="D12" s="3">
        <v>7</v>
      </c>
      <c r="E12" s="3">
        <v>0.25</v>
      </c>
      <c r="F12" s="3">
        <v>0</v>
      </c>
    </row>
    <row r="13" spans="1:6" x14ac:dyDescent="0.25">
      <c r="A13" s="13">
        <v>40543</v>
      </c>
      <c r="B13" s="3">
        <v>0.13</v>
      </c>
      <c r="C13" s="3">
        <v>9</v>
      </c>
      <c r="D13" s="3">
        <v>7</v>
      </c>
      <c r="E13" s="3">
        <v>0.25</v>
      </c>
      <c r="F13" s="3">
        <v>0</v>
      </c>
    </row>
    <row r="14" spans="1:6" x14ac:dyDescent="0.25">
      <c r="A14" s="13">
        <v>40574</v>
      </c>
      <c r="B14" s="3">
        <v>0.17</v>
      </c>
      <c r="C14" s="3">
        <v>9</v>
      </c>
      <c r="D14" s="3">
        <v>7</v>
      </c>
      <c r="E14" s="3">
        <v>0.25</v>
      </c>
      <c r="F14" s="3">
        <v>0</v>
      </c>
    </row>
    <row r="15" spans="1:6" x14ac:dyDescent="0.25">
      <c r="A15" s="13">
        <v>40602</v>
      </c>
      <c r="B15" s="3">
        <v>0.16</v>
      </c>
      <c r="C15" s="3">
        <v>11</v>
      </c>
      <c r="D15" s="3">
        <v>7</v>
      </c>
      <c r="E15" s="3">
        <v>0.25</v>
      </c>
      <c r="F15" s="3">
        <v>0</v>
      </c>
    </row>
    <row r="16" spans="1:6" x14ac:dyDescent="0.25">
      <c r="A16" s="13">
        <v>40633</v>
      </c>
      <c r="B16" s="3">
        <v>0.1</v>
      </c>
      <c r="C16" s="3">
        <v>12</v>
      </c>
      <c r="D16" s="3">
        <v>12</v>
      </c>
      <c r="E16" s="3">
        <v>0.25</v>
      </c>
      <c r="F16" s="3">
        <v>0</v>
      </c>
    </row>
    <row r="17" spans="1:6" x14ac:dyDescent="0.25">
      <c r="A17" s="13">
        <v>40663</v>
      </c>
      <c r="B17" s="3">
        <v>0.09</v>
      </c>
      <c r="C17" s="3">
        <v>13</v>
      </c>
      <c r="D17" s="3">
        <v>12</v>
      </c>
      <c r="E17" s="3">
        <v>0.25</v>
      </c>
      <c r="F17" s="3">
        <v>0</v>
      </c>
    </row>
    <row r="18" spans="1:6" x14ac:dyDescent="0.25">
      <c r="A18" s="13">
        <v>40694</v>
      </c>
      <c r="B18" s="3">
        <v>0.1</v>
      </c>
      <c r="C18" s="3">
        <v>14</v>
      </c>
      <c r="D18" s="3">
        <v>13</v>
      </c>
      <c r="E18" s="3">
        <v>0.25</v>
      </c>
      <c r="F18" s="3">
        <v>0</v>
      </c>
    </row>
    <row r="19" spans="1:6" x14ac:dyDescent="0.25">
      <c r="A19" s="13">
        <v>40724</v>
      </c>
      <c r="B19" s="3">
        <v>7.0000000000000007E-2</v>
      </c>
      <c r="C19" s="3">
        <v>14</v>
      </c>
      <c r="D19" s="3">
        <v>13</v>
      </c>
      <c r="E19" s="3">
        <v>0.25</v>
      </c>
      <c r="F19" s="3">
        <v>0</v>
      </c>
    </row>
    <row r="20" spans="1:6" x14ac:dyDescent="0.25">
      <c r="A20" s="13">
        <v>40755</v>
      </c>
      <c r="B20" s="3">
        <v>0.11</v>
      </c>
      <c r="C20" s="3">
        <v>14</v>
      </c>
      <c r="D20" s="3">
        <v>13</v>
      </c>
      <c r="E20" s="3">
        <v>0.25</v>
      </c>
      <c r="F20" s="3">
        <v>0</v>
      </c>
    </row>
    <row r="21" spans="1:6" x14ac:dyDescent="0.25">
      <c r="A21" s="13">
        <v>40786</v>
      </c>
      <c r="B21" s="3">
        <v>0.08</v>
      </c>
      <c r="C21" s="3">
        <v>14</v>
      </c>
      <c r="D21" s="3">
        <v>13</v>
      </c>
      <c r="E21" s="3">
        <v>0.25</v>
      </c>
      <c r="F21" s="3">
        <v>0</v>
      </c>
    </row>
    <row r="22" spans="1:6" x14ac:dyDescent="0.25">
      <c r="A22" s="13">
        <v>40816</v>
      </c>
      <c r="B22" s="3">
        <v>0.06</v>
      </c>
      <c r="C22" s="3">
        <v>14</v>
      </c>
      <c r="D22" s="3">
        <v>13</v>
      </c>
      <c r="E22" s="3">
        <v>0.25</v>
      </c>
      <c r="F22" s="3">
        <v>0</v>
      </c>
    </row>
    <row r="23" spans="1:6" x14ac:dyDescent="0.25">
      <c r="A23" s="13">
        <v>40847</v>
      </c>
      <c r="B23" s="3">
        <v>0.09</v>
      </c>
      <c r="C23" s="3">
        <v>15</v>
      </c>
      <c r="D23" s="3">
        <v>13</v>
      </c>
      <c r="E23" s="3">
        <v>0.25</v>
      </c>
      <c r="F23" s="3">
        <v>0</v>
      </c>
    </row>
    <row r="24" spans="1:6" x14ac:dyDescent="0.25">
      <c r="A24" s="13">
        <v>40877</v>
      </c>
      <c r="B24" s="3">
        <v>0.1</v>
      </c>
      <c r="C24" s="3">
        <v>15</v>
      </c>
      <c r="D24" s="3">
        <v>13</v>
      </c>
      <c r="E24" s="3">
        <v>0.25</v>
      </c>
      <c r="F24" s="3">
        <v>0</v>
      </c>
    </row>
    <row r="25" spans="1:6" x14ac:dyDescent="0.25">
      <c r="A25" s="13">
        <v>40908</v>
      </c>
      <c r="B25" s="3">
        <v>0.04</v>
      </c>
      <c r="C25" s="3">
        <v>15</v>
      </c>
      <c r="D25" s="3">
        <v>13</v>
      </c>
      <c r="E25" s="3">
        <v>0.25</v>
      </c>
      <c r="F25" s="3">
        <v>0</v>
      </c>
    </row>
    <row r="26" spans="1:6" x14ac:dyDescent="0.25">
      <c r="A26" s="13">
        <v>40939</v>
      </c>
      <c r="B26" s="3">
        <v>0.11</v>
      </c>
      <c r="C26" s="3">
        <v>15</v>
      </c>
      <c r="D26" s="3">
        <v>13</v>
      </c>
      <c r="E26" s="3">
        <v>0.25</v>
      </c>
      <c r="F26" s="3">
        <v>0</v>
      </c>
    </row>
    <row r="27" spans="1:6" x14ac:dyDescent="0.25">
      <c r="A27" s="13">
        <v>40968</v>
      </c>
      <c r="B27" s="3">
        <v>0.1</v>
      </c>
      <c r="C27" s="3">
        <v>15</v>
      </c>
      <c r="D27" s="3">
        <v>13</v>
      </c>
      <c r="E27" s="3">
        <v>0.25</v>
      </c>
      <c r="F27" s="3">
        <v>0</v>
      </c>
    </row>
    <row r="28" spans="1:6" x14ac:dyDescent="0.25">
      <c r="A28" s="13">
        <v>40999</v>
      </c>
      <c r="B28" s="3">
        <v>0.09</v>
      </c>
      <c r="C28" s="3">
        <v>14</v>
      </c>
      <c r="D28" s="3">
        <v>12</v>
      </c>
      <c r="E28" s="3">
        <v>0.25</v>
      </c>
      <c r="F28" s="3">
        <v>0</v>
      </c>
    </row>
    <row r="29" spans="1:6" x14ac:dyDescent="0.25">
      <c r="A29" s="13">
        <v>41029</v>
      </c>
      <c r="B29" s="3">
        <v>0.16</v>
      </c>
      <c r="C29" s="3">
        <v>13</v>
      </c>
      <c r="D29" s="3">
        <v>11</v>
      </c>
      <c r="E29" s="3">
        <v>0.25</v>
      </c>
      <c r="F29" s="3">
        <v>0</v>
      </c>
    </row>
    <row r="30" spans="1:6" x14ac:dyDescent="0.25">
      <c r="A30" s="13">
        <v>41060</v>
      </c>
      <c r="B30" s="3">
        <v>0.16</v>
      </c>
      <c r="C30" s="3">
        <v>12</v>
      </c>
      <c r="D30" s="3">
        <v>10</v>
      </c>
      <c r="E30" s="3">
        <v>0.25</v>
      </c>
      <c r="F30" s="3">
        <v>0</v>
      </c>
    </row>
    <row r="31" spans="1:6" x14ac:dyDescent="0.25">
      <c r="A31" s="13">
        <v>41090</v>
      </c>
      <c r="B31" s="3">
        <v>0.09</v>
      </c>
      <c r="C31" s="3">
        <v>11</v>
      </c>
      <c r="D31" s="3">
        <v>9</v>
      </c>
      <c r="E31" s="3">
        <v>0.25</v>
      </c>
      <c r="F31" s="3">
        <v>0</v>
      </c>
    </row>
    <row r="32" spans="1:6" x14ac:dyDescent="0.25">
      <c r="A32" s="13">
        <v>41121</v>
      </c>
      <c r="B32" s="3">
        <v>0.13</v>
      </c>
      <c r="C32" s="3">
        <v>10</v>
      </c>
      <c r="D32" s="3">
        <v>8</v>
      </c>
      <c r="E32" s="3">
        <v>0.25</v>
      </c>
      <c r="F32" s="3">
        <v>0</v>
      </c>
    </row>
    <row r="33" spans="1:6" x14ac:dyDescent="0.25">
      <c r="A33" s="13">
        <v>41152</v>
      </c>
      <c r="B33" s="3">
        <v>0.13</v>
      </c>
      <c r="C33" s="3">
        <v>10</v>
      </c>
      <c r="D33" s="3">
        <v>8</v>
      </c>
      <c r="E33" s="3">
        <v>0.25</v>
      </c>
      <c r="F33" s="3">
        <v>0</v>
      </c>
    </row>
    <row r="34" spans="1:6" x14ac:dyDescent="0.25">
      <c r="A34" s="13">
        <v>41182</v>
      </c>
      <c r="B34" s="3">
        <v>0.09</v>
      </c>
      <c r="C34" s="3">
        <v>10</v>
      </c>
      <c r="D34" s="3">
        <v>8</v>
      </c>
      <c r="E34" s="3">
        <v>0.25</v>
      </c>
      <c r="F34" s="3">
        <v>0</v>
      </c>
    </row>
    <row r="35" spans="1:6" x14ac:dyDescent="0.25">
      <c r="A35" s="13">
        <v>41213</v>
      </c>
      <c r="B35" s="3">
        <v>0.18</v>
      </c>
      <c r="C35" s="3">
        <v>10</v>
      </c>
      <c r="D35" s="3">
        <v>8</v>
      </c>
      <c r="E35" s="3">
        <v>0.25</v>
      </c>
      <c r="F35" s="3">
        <v>0</v>
      </c>
    </row>
    <row r="36" spans="1:6" x14ac:dyDescent="0.25">
      <c r="A36" s="13">
        <v>41243</v>
      </c>
      <c r="B36" s="3">
        <v>0.16</v>
      </c>
      <c r="C36" s="3">
        <v>10</v>
      </c>
      <c r="D36" s="3">
        <v>8</v>
      </c>
      <c r="E36" s="3">
        <v>0.25</v>
      </c>
      <c r="F36" s="3">
        <v>0</v>
      </c>
    </row>
    <row r="37" spans="1:6" x14ac:dyDescent="0.25">
      <c r="A37" s="13">
        <v>41274</v>
      </c>
      <c r="B37" s="3">
        <v>0.09</v>
      </c>
      <c r="C37" s="3">
        <v>9</v>
      </c>
      <c r="D37" s="3">
        <v>7</v>
      </c>
      <c r="E37" s="3">
        <v>0.25</v>
      </c>
      <c r="F37" s="3">
        <v>0</v>
      </c>
    </row>
    <row r="38" spans="1:6" x14ac:dyDescent="0.25">
      <c r="A38" s="13">
        <v>41305</v>
      </c>
      <c r="B38" s="3">
        <v>0.15</v>
      </c>
      <c r="C38" s="3">
        <v>9</v>
      </c>
      <c r="D38" s="3">
        <v>7</v>
      </c>
      <c r="E38" s="3">
        <v>0.25</v>
      </c>
      <c r="F38" s="3">
        <v>0</v>
      </c>
    </row>
    <row r="39" spans="1:6" x14ac:dyDescent="0.25">
      <c r="A39" s="13">
        <v>41333</v>
      </c>
      <c r="B39" s="3">
        <v>0.14000000000000001</v>
      </c>
      <c r="C39" s="3">
        <v>9</v>
      </c>
      <c r="D39" s="3">
        <v>7</v>
      </c>
      <c r="E39" s="3">
        <v>0.25</v>
      </c>
      <c r="F39" s="3">
        <v>0</v>
      </c>
    </row>
    <row r="40" spans="1:6" x14ac:dyDescent="0.25">
      <c r="A40" s="13">
        <v>41364</v>
      </c>
      <c r="B40" s="3">
        <v>0.09</v>
      </c>
      <c r="C40" s="3">
        <v>8</v>
      </c>
      <c r="D40" s="3">
        <v>6</v>
      </c>
      <c r="E40" s="3">
        <v>0.25</v>
      </c>
      <c r="F40" s="3">
        <v>0</v>
      </c>
    </row>
    <row r="41" spans="1:6" x14ac:dyDescent="0.25">
      <c r="A41" s="13">
        <v>41394</v>
      </c>
      <c r="B41" s="3">
        <v>0.14000000000000001</v>
      </c>
      <c r="C41" s="3">
        <v>8</v>
      </c>
      <c r="D41" s="3">
        <v>6</v>
      </c>
      <c r="E41" s="3">
        <v>0.25</v>
      </c>
      <c r="F41" s="3">
        <v>0</v>
      </c>
    </row>
    <row r="42" spans="1:6" x14ac:dyDescent="0.25">
      <c r="A42" s="13">
        <v>41425</v>
      </c>
      <c r="B42" s="3">
        <v>0.09</v>
      </c>
      <c r="C42" s="3">
        <v>7</v>
      </c>
      <c r="D42" s="3">
        <v>5</v>
      </c>
      <c r="E42" s="3">
        <v>0.25</v>
      </c>
      <c r="F42" s="3">
        <v>0</v>
      </c>
    </row>
    <row r="43" spans="1:6" x14ac:dyDescent="0.25">
      <c r="A43" s="13">
        <v>41455</v>
      </c>
      <c r="B43" s="3">
        <v>7.0000000000000007E-2</v>
      </c>
      <c r="C43" s="3">
        <v>7</v>
      </c>
      <c r="D43" s="3">
        <v>5</v>
      </c>
      <c r="E43" s="3">
        <v>0.25</v>
      </c>
      <c r="F43" s="3">
        <v>0</v>
      </c>
    </row>
    <row r="44" spans="1:6" x14ac:dyDescent="0.25">
      <c r="A44" s="13">
        <v>41486</v>
      </c>
      <c r="B44" s="3">
        <v>0.09</v>
      </c>
      <c r="C44" s="3">
        <v>7</v>
      </c>
      <c r="D44" s="3">
        <v>5</v>
      </c>
      <c r="E44" s="3">
        <v>0.25</v>
      </c>
      <c r="F44" s="3">
        <v>0</v>
      </c>
    </row>
    <row r="45" spans="1:6" x14ac:dyDescent="0.25">
      <c r="A45" s="13">
        <v>41517</v>
      </c>
      <c r="B45" s="3">
        <v>7.0000000000000007E-2</v>
      </c>
      <c r="C45" s="3">
        <v>7</v>
      </c>
      <c r="D45" s="3">
        <v>5</v>
      </c>
      <c r="E45" s="3">
        <v>0.25</v>
      </c>
      <c r="F45" s="3">
        <v>0</v>
      </c>
    </row>
    <row r="46" spans="1:6" x14ac:dyDescent="0.25">
      <c r="A46" s="13">
        <v>41547</v>
      </c>
      <c r="B46" s="3">
        <v>0.06</v>
      </c>
      <c r="C46" s="3">
        <v>7</v>
      </c>
      <c r="D46" s="3">
        <v>5</v>
      </c>
      <c r="E46" s="3">
        <v>0.25</v>
      </c>
      <c r="F46" s="3">
        <v>0</v>
      </c>
    </row>
    <row r="47" spans="1:6" x14ac:dyDescent="0.25">
      <c r="A47" s="13">
        <v>41578</v>
      </c>
      <c r="B47" s="3">
        <v>7.0000000000000007E-2</v>
      </c>
      <c r="C47" s="3">
        <v>7</v>
      </c>
      <c r="D47" s="3">
        <v>5</v>
      </c>
      <c r="E47" s="3">
        <v>0.25</v>
      </c>
      <c r="F47" s="3">
        <v>0</v>
      </c>
    </row>
    <row r="48" spans="1:6" x14ac:dyDescent="0.25">
      <c r="A48" s="13">
        <v>41608</v>
      </c>
      <c r="B48" s="3">
        <v>7.0000000000000007E-2</v>
      </c>
      <c r="C48" s="3">
        <v>7</v>
      </c>
      <c r="D48" s="3">
        <v>5</v>
      </c>
      <c r="E48" s="3">
        <v>0.25</v>
      </c>
      <c r="F48" s="3">
        <v>0</v>
      </c>
    </row>
    <row r="49" spans="1:6" x14ac:dyDescent="0.25">
      <c r="A49" s="13">
        <v>41639</v>
      </c>
      <c r="B49" s="3">
        <v>7.0000000000000007E-2</v>
      </c>
      <c r="C49" s="3">
        <v>7</v>
      </c>
      <c r="D49" s="3">
        <v>5</v>
      </c>
      <c r="E49" s="3">
        <v>0.25</v>
      </c>
      <c r="F49" s="3">
        <v>0</v>
      </c>
    </row>
    <row r="50" spans="1:6" x14ac:dyDescent="0.25">
      <c r="A50" s="13">
        <v>41670</v>
      </c>
      <c r="B50" s="3">
        <v>7.0000000000000007E-2</v>
      </c>
      <c r="C50" s="3">
        <v>7</v>
      </c>
      <c r="D50" s="3">
        <v>5</v>
      </c>
      <c r="E50" s="3">
        <v>0.25</v>
      </c>
      <c r="F50" s="3">
        <v>0</v>
      </c>
    </row>
    <row r="51" spans="1:6" x14ac:dyDescent="0.25">
      <c r="A51" s="13">
        <v>41698</v>
      </c>
      <c r="B51" s="3">
        <v>0.06</v>
      </c>
      <c r="C51" s="3">
        <v>7</v>
      </c>
      <c r="D51" s="3">
        <v>5</v>
      </c>
      <c r="E51" s="3">
        <v>0.25</v>
      </c>
      <c r="F51" s="3">
        <v>0</v>
      </c>
    </row>
    <row r="52" spans="1:6" x14ac:dyDescent="0.25">
      <c r="A52" s="13">
        <v>41729</v>
      </c>
      <c r="B52" s="3">
        <v>0.06</v>
      </c>
      <c r="C52" s="3">
        <v>6.5</v>
      </c>
      <c r="D52" s="3">
        <v>4.5</v>
      </c>
      <c r="E52" s="3">
        <v>0.25</v>
      </c>
      <c r="F52" s="3">
        <v>0</v>
      </c>
    </row>
    <row r="53" spans="1:6" x14ac:dyDescent="0.25">
      <c r="A53" s="13">
        <v>41759</v>
      </c>
      <c r="B53" s="3">
        <v>0.09</v>
      </c>
      <c r="C53" s="3">
        <v>6.5</v>
      </c>
      <c r="D53" s="3">
        <v>4.5</v>
      </c>
      <c r="E53" s="3">
        <v>0.25</v>
      </c>
      <c r="F53" s="3">
        <v>0</v>
      </c>
    </row>
    <row r="54" spans="1:6" x14ac:dyDescent="0.25">
      <c r="A54" s="13">
        <v>41790</v>
      </c>
      <c r="B54" s="3">
        <v>0.08</v>
      </c>
      <c r="C54" s="3">
        <v>6.5</v>
      </c>
      <c r="D54" s="3">
        <v>4.5</v>
      </c>
      <c r="E54" s="3">
        <v>0.25</v>
      </c>
      <c r="F54" s="3">
        <v>0</v>
      </c>
    </row>
    <row r="55" spans="1:6" x14ac:dyDescent="0.25">
      <c r="A55" s="13">
        <v>41820</v>
      </c>
      <c r="B55" s="3">
        <v>0.09</v>
      </c>
      <c r="C55" s="3">
        <v>6.5</v>
      </c>
      <c r="D55" s="3">
        <v>4.5</v>
      </c>
      <c r="E55" s="3">
        <v>0.25</v>
      </c>
      <c r="F55" s="3">
        <v>0</v>
      </c>
    </row>
    <row r="56" spans="1:6" x14ac:dyDescent="0.25">
      <c r="A56" s="13">
        <v>41851</v>
      </c>
      <c r="B56" s="3">
        <v>0.08</v>
      </c>
      <c r="C56" s="3">
        <v>6.5</v>
      </c>
      <c r="D56" s="3">
        <v>4.5</v>
      </c>
      <c r="E56" s="3">
        <v>0.25</v>
      </c>
      <c r="F56" s="3">
        <v>0</v>
      </c>
    </row>
    <row r="57" spans="1:6" x14ac:dyDescent="0.25">
      <c r="A57" s="13">
        <v>41882</v>
      </c>
      <c r="B57" s="3">
        <v>7.0000000000000007E-2</v>
      </c>
      <c r="C57" s="3">
        <v>6.5</v>
      </c>
      <c r="D57" s="3">
        <v>4.5</v>
      </c>
      <c r="E57" s="3">
        <v>0.25</v>
      </c>
      <c r="F57" s="3">
        <v>0</v>
      </c>
    </row>
    <row r="58" spans="1:6" x14ac:dyDescent="0.25">
      <c r="A58" s="13">
        <v>41912</v>
      </c>
      <c r="B58" s="3">
        <v>7.0000000000000007E-2</v>
      </c>
      <c r="C58" s="3">
        <v>6.5</v>
      </c>
      <c r="D58" s="3">
        <v>4.5</v>
      </c>
      <c r="E58" s="3">
        <v>0.25</v>
      </c>
      <c r="F58" s="3">
        <v>0</v>
      </c>
    </row>
    <row r="59" spans="1:6" x14ac:dyDescent="0.25">
      <c r="A59" s="13">
        <v>41943</v>
      </c>
      <c r="B59" s="3">
        <v>7.0000000000000007E-2</v>
      </c>
      <c r="C59" s="3">
        <v>6.5</v>
      </c>
      <c r="D59" s="3">
        <v>4.5</v>
      </c>
      <c r="E59" s="3">
        <v>0.25</v>
      </c>
      <c r="F59" s="3">
        <v>0</v>
      </c>
    </row>
    <row r="60" spans="1:6" x14ac:dyDescent="0.25">
      <c r="A60" s="13">
        <v>41973</v>
      </c>
      <c r="B60" s="3">
        <v>0.08</v>
      </c>
      <c r="C60" s="3">
        <v>6.5</v>
      </c>
      <c r="D60" s="3">
        <v>4.5</v>
      </c>
      <c r="E60" s="3">
        <v>0.25</v>
      </c>
      <c r="F60" s="3">
        <v>0</v>
      </c>
    </row>
    <row r="61" spans="1:6" x14ac:dyDescent="0.25">
      <c r="A61" s="13">
        <v>42004</v>
      </c>
      <c r="B61" s="3">
        <v>0.06</v>
      </c>
      <c r="C61" s="3">
        <v>6.5</v>
      </c>
      <c r="D61" s="3">
        <v>4.5</v>
      </c>
      <c r="E61" s="3">
        <v>0.25</v>
      </c>
      <c r="F61" s="3">
        <v>0</v>
      </c>
    </row>
    <row r="62" spans="1:6" x14ac:dyDescent="0.25">
      <c r="A62" s="13">
        <v>42035</v>
      </c>
      <c r="B62" s="3">
        <v>0.06</v>
      </c>
      <c r="C62" s="3">
        <v>6.5</v>
      </c>
      <c r="D62" s="3">
        <v>4.5</v>
      </c>
      <c r="E62" s="3">
        <v>0.25</v>
      </c>
      <c r="F62" s="3">
        <v>0</v>
      </c>
    </row>
    <row r="63" spans="1:6" x14ac:dyDescent="0.25">
      <c r="A63" s="13">
        <v>42063</v>
      </c>
      <c r="B63" s="3">
        <v>0.06</v>
      </c>
      <c r="C63" s="3">
        <v>6.5</v>
      </c>
      <c r="D63" s="3">
        <v>4.5</v>
      </c>
      <c r="E63" s="3">
        <v>0.25</v>
      </c>
      <c r="F63" s="3">
        <v>0</v>
      </c>
    </row>
    <row r="64" spans="1:6" x14ac:dyDescent="0.25">
      <c r="A64" s="13">
        <v>42094</v>
      </c>
      <c r="B64" s="3">
        <v>0.06</v>
      </c>
      <c r="C64" s="3">
        <v>6.5</v>
      </c>
      <c r="D64" s="3">
        <v>4.5</v>
      </c>
      <c r="E64" s="3">
        <v>0.25</v>
      </c>
      <c r="F64" s="3">
        <v>0</v>
      </c>
    </row>
    <row r="65" spans="1:6" x14ac:dyDescent="0.25">
      <c r="A65" s="13">
        <v>42124</v>
      </c>
      <c r="B65" s="3">
        <v>0.08</v>
      </c>
      <c r="C65" s="3">
        <v>6.5</v>
      </c>
      <c r="D65" s="3">
        <v>4.5</v>
      </c>
      <c r="E65" s="3">
        <v>0.25</v>
      </c>
      <c r="F65" s="3">
        <v>0</v>
      </c>
    </row>
    <row r="66" spans="1:6" x14ac:dyDescent="0.25">
      <c r="A66" s="13">
        <v>42155</v>
      </c>
      <c r="B66" s="3">
        <v>0.08</v>
      </c>
      <c r="C66" s="3">
        <v>6.5</v>
      </c>
      <c r="D66" s="3">
        <v>4.5</v>
      </c>
      <c r="E66" s="3">
        <v>0.25</v>
      </c>
      <c r="F66" s="3">
        <v>0</v>
      </c>
    </row>
    <row r="67" spans="1:6" x14ac:dyDescent="0.25">
      <c r="A67" s="13">
        <v>42185</v>
      </c>
      <c r="B67" s="3">
        <v>0.08</v>
      </c>
      <c r="C67" s="3">
        <v>6.5</v>
      </c>
      <c r="D67" s="3">
        <v>4.5</v>
      </c>
      <c r="E67" s="3">
        <v>0.25</v>
      </c>
      <c r="F67" s="3">
        <v>0</v>
      </c>
    </row>
    <row r="68" spans="1:6" x14ac:dyDescent="0.25">
      <c r="A68" s="13">
        <v>42216</v>
      </c>
      <c r="B68" s="3">
        <v>0.08</v>
      </c>
      <c r="C68" s="3">
        <v>6.5</v>
      </c>
      <c r="D68" s="3">
        <v>4.5</v>
      </c>
      <c r="E68" s="3">
        <v>0.25</v>
      </c>
      <c r="F68" s="3">
        <v>0</v>
      </c>
    </row>
    <row r="69" spans="1:6" x14ac:dyDescent="0.25">
      <c r="A69" s="13">
        <v>42247</v>
      </c>
      <c r="B69" s="3">
        <v>0.08</v>
      </c>
      <c r="C69" s="3">
        <v>6.5</v>
      </c>
      <c r="D69" s="3">
        <v>4.5</v>
      </c>
      <c r="E69" s="3">
        <v>0.25</v>
      </c>
      <c r="F69" s="3">
        <v>0</v>
      </c>
    </row>
    <row r="70" spans="1:6" x14ac:dyDescent="0.25">
      <c r="A70" s="13">
        <v>42277</v>
      </c>
      <c r="B70" s="3">
        <v>7.0000000000000007E-2</v>
      </c>
      <c r="C70" s="3">
        <v>6.5</v>
      </c>
      <c r="D70" s="3">
        <v>4.5</v>
      </c>
      <c r="E70" s="3">
        <v>0.25</v>
      </c>
      <c r="F70" s="3">
        <v>0</v>
      </c>
    </row>
    <row r="71" spans="1:6" x14ac:dyDescent="0.25">
      <c r="A71" s="13">
        <v>42308</v>
      </c>
      <c r="B71" s="3">
        <v>7.0000000000000007E-2</v>
      </c>
      <c r="C71" s="3">
        <v>6.5</v>
      </c>
      <c r="D71" s="3">
        <v>4.5</v>
      </c>
      <c r="E71" s="3">
        <v>0.25</v>
      </c>
      <c r="F71" s="3">
        <v>0</v>
      </c>
    </row>
    <row r="72" spans="1:6" x14ac:dyDescent="0.25">
      <c r="A72" s="13">
        <v>42338</v>
      </c>
      <c r="B72" s="3">
        <v>0.08</v>
      </c>
      <c r="C72" s="3">
        <v>6.5</v>
      </c>
      <c r="D72" s="3">
        <v>4.5</v>
      </c>
      <c r="E72" s="3">
        <v>0.25</v>
      </c>
      <c r="F72" s="3">
        <v>0</v>
      </c>
    </row>
    <row r="73" spans="1:6" x14ac:dyDescent="0.25">
      <c r="A73" s="13">
        <v>42369</v>
      </c>
      <c r="B73" s="3">
        <v>0.2</v>
      </c>
      <c r="C73" s="3">
        <v>6.5</v>
      </c>
      <c r="D73" s="3">
        <v>4.5</v>
      </c>
      <c r="E73" s="3">
        <v>0.5</v>
      </c>
      <c r="F73" s="3">
        <v>0.25</v>
      </c>
    </row>
    <row r="74" spans="1:6" x14ac:dyDescent="0.25">
      <c r="A74" s="13">
        <v>42400</v>
      </c>
      <c r="B74" s="3">
        <v>0.28999999999999998</v>
      </c>
      <c r="C74" s="3">
        <v>6.5</v>
      </c>
      <c r="D74" s="3">
        <v>4.5</v>
      </c>
      <c r="E74" s="3">
        <v>0.5</v>
      </c>
      <c r="F74" s="3">
        <v>0.25</v>
      </c>
    </row>
    <row r="75" spans="1:6" x14ac:dyDescent="0.25">
      <c r="A75" s="13">
        <v>42429</v>
      </c>
      <c r="B75" s="3">
        <v>0.28999999999999998</v>
      </c>
      <c r="C75" s="3">
        <v>6.5</v>
      </c>
      <c r="D75" s="3">
        <v>4.5</v>
      </c>
      <c r="E75" s="3">
        <v>0.5</v>
      </c>
      <c r="F75" s="3">
        <v>0.25</v>
      </c>
    </row>
    <row r="76" spans="1:6" x14ac:dyDescent="0.25">
      <c r="A76" s="13">
        <v>42460</v>
      </c>
      <c r="B76" s="3">
        <v>0.25</v>
      </c>
      <c r="C76" s="3">
        <v>6.5</v>
      </c>
      <c r="D76" s="3">
        <v>4.5</v>
      </c>
      <c r="E76" s="3">
        <v>0.5</v>
      </c>
      <c r="F76" s="3">
        <v>0.25</v>
      </c>
    </row>
    <row r="77" spans="1:6" x14ac:dyDescent="0.25">
      <c r="A77" s="13">
        <v>42490</v>
      </c>
      <c r="B77" s="3">
        <v>0.3</v>
      </c>
      <c r="C77" s="3">
        <v>6.5</v>
      </c>
      <c r="D77" s="3">
        <v>4.5</v>
      </c>
      <c r="E77" s="3">
        <v>0.5</v>
      </c>
      <c r="F77" s="3">
        <v>0.25</v>
      </c>
    </row>
    <row r="78" spans="1:6" x14ac:dyDescent="0.25">
      <c r="A78" s="13">
        <v>42521</v>
      </c>
      <c r="B78" s="3">
        <v>0.28999999999999998</v>
      </c>
      <c r="C78" s="3">
        <v>6.5</v>
      </c>
      <c r="D78" s="3">
        <v>4.5</v>
      </c>
      <c r="E78" s="3">
        <v>0.5</v>
      </c>
      <c r="F78" s="3">
        <v>0.25</v>
      </c>
    </row>
    <row r="79" spans="1:6" x14ac:dyDescent="0.25">
      <c r="A79" s="13">
        <v>42551</v>
      </c>
      <c r="B79" s="3">
        <v>0.3</v>
      </c>
      <c r="C79" s="3">
        <v>6.5</v>
      </c>
      <c r="D79" s="3">
        <v>4.5</v>
      </c>
      <c r="E79" s="3">
        <v>0.5</v>
      </c>
      <c r="F79" s="3">
        <v>0.25</v>
      </c>
    </row>
    <row r="80" spans="1:6" x14ac:dyDescent="0.25">
      <c r="A80" s="13">
        <v>42582</v>
      </c>
      <c r="B80" s="3">
        <v>0.3</v>
      </c>
      <c r="C80" s="3">
        <v>6.5</v>
      </c>
      <c r="D80" s="3">
        <v>4.5</v>
      </c>
      <c r="E80" s="3">
        <v>0.5</v>
      </c>
      <c r="F80" s="3">
        <v>0.25</v>
      </c>
    </row>
    <row r="81" spans="1:6" x14ac:dyDescent="0.25">
      <c r="A81" s="13">
        <v>42613</v>
      </c>
      <c r="B81" s="3">
        <v>0.3</v>
      </c>
      <c r="C81" s="3">
        <v>6.5</v>
      </c>
      <c r="D81" s="3">
        <v>4.5</v>
      </c>
      <c r="E81" s="3">
        <v>0.5</v>
      </c>
      <c r="F81" s="3">
        <v>0.25</v>
      </c>
    </row>
    <row r="82" spans="1:6" x14ac:dyDescent="0.25">
      <c r="A82" s="13">
        <v>42643</v>
      </c>
      <c r="B82" s="3">
        <v>0.28999999999999998</v>
      </c>
      <c r="C82" s="3">
        <v>6.5</v>
      </c>
      <c r="D82" s="3">
        <v>4.5</v>
      </c>
      <c r="E82" s="3">
        <v>0.5</v>
      </c>
      <c r="F82" s="3">
        <v>0.25</v>
      </c>
    </row>
    <row r="83" spans="1:6" x14ac:dyDescent="0.25">
      <c r="A83" s="13">
        <v>42674</v>
      </c>
      <c r="B83" s="3">
        <v>0.31</v>
      </c>
      <c r="C83" s="3">
        <v>6.5</v>
      </c>
      <c r="D83" s="3">
        <v>4.5</v>
      </c>
      <c r="E83" s="3">
        <v>0.5</v>
      </c>
      <c r="F83" s="3">
        <v>0.25</v>
      </c>
    </row>
    <row r="84" spans="1:6" x14ac:dyDescent="0.25">
      <c r="A84" s="13">
        <v>42704</v>
      </c>
      <c r="B84" s="3">
        <v>0.31</v>
      </c>
      <c r="C84" s="3">
        <v>6.5</v>
      </c>
      <c r="D84" s="3">
        <v>4.5</v>
      </c>
      <c r="E84" s="3">
        <v>0.5</v>
      </c>
      <c r="F84" s="3">
        <v>0.25</v>
      </c>
    </row>
    <row r="85" spans="1:6" x14ac:dyDescent="0.25">
      <c r="A85" s="13">
        <v>42735</v>
      </c>
      <c r="B85" s="3">
        <v>0.55000000000000004</v>
      </c>
      <c r="C85" s="3">
        <v>6.5</v>
      </c>
      <c r="D85" s="3">
        <v>4.5</v>
      </c>
      <c r="E85" s="3">
        <v>0.75</v>
      </c>
      <c r="F85" s="3">
        <v>0.5</v>
      </c>
    </row>
    <row r="86" spans="1:6" x14ac:dyDescent="0.25">
      <c r="A86" s="13">
        <v>42766</v>
      </c>
      <c r="B86" s="3">
        <v>0.56000000000000005</v>
      </c>
      <c r="C86" s="3">
        <v>6.5</v>
      </c>
      <c r="D86" s="3">
        <v>4.5</v>
      </c>
      <c r="E86" s="3">
        <v>0.75</v>
      </c>
      <c r="F86" s="3">
        <v>0.5</v>
      </c>
    </row>
    <row r="87" spans="1:6" x14ac:dyDescent="0.25">
      <c r="A87" s="13">
        <v>42794</v>
      </c>
      <c r="B87" s="3">
        <v>0.56999999999999995</v>
      </c>
      <c r="C87" s="3">
        <v>6.5</v>
      </c>
      <c r="D87" s="3">
        <v>4.5</v>
      </c>
      <c r="E87" s="3">
        <v>0.75</v>
      </c>
      <c r="F87" s="3">
        <v>0.5</v>
      </c>
    </row>
    <row r="88" spans="1:6" x14ac:dyDescent="0.25">
      <c r="A88" s="13">
        <v>42825</v>
      </c>
      <c r="B88" s="3">
        <v>0.82</v>
      </c>
      <c r="C88" s="3">
        <v>6.5</v>
      </c>
      <c r="D88" s="3">
        <v>4.5</v>
      </c>
      <c r="E88" s="3">
        <v>1</v>
      </c>
      <c r="F88" s="3">
        <v>0.75</v>
      </c>
    </row>
    <row r="89" spans="1:6" x14ac:dyDescent="0.25">
      <c r="A89" s="13">
        <v>42855</v>
      </c>
      <c r="B89" s="3">
        <v>0.83</v>
      </c>
      <c r="C89" s="3">
        <v>6.5</v>
      </c>
      <c r="D89" s="3">
        <v>4.5</v>
      </c>
      <c r="E89" s="3">
        <v>1</v>
      </c>
      <c r="F89" s="3">
        <v>0.75</v>
      </c>
    </row>
    <row r="90" spans="1:6" x14ac:dyDescent="0.25">
      <c r="A90" s="13">
        <v>42886</v>
      </c>
      <c r="B90" s="3">
        <v>0.83</v>
      </c>
      <c r="C90" s="3">
        <v>6.5</v>
      </c>
      <c r="D90" s="3">
        <v>4.5</v>
      </c>
      <c r="E90" s="3">
        <v>1</v>
      </c>
      <c r="F90" s="3">
        <v>0.75</v>
      </c>
    </row>
    <row r="91" spans="1:6" x14ac:dyDescent="0.25">
      <c r="A91" s="13">
        <v>42916</v>
      </c>
      <c r="B91" s="3">
        <v>1.06</v>
      </c>
      <c r="C91" s="3">
        <v>6.5</v>
      </c>
      <c r="D91" s="3">
        <v>4.5</v>
      </c>
      <c r="E91" s="3">
        <v>1.25</v>
      </c>
      <c r="F91" s="3">
        <v>1</v>
      </c>
    </row>
    <row r="92" spans="1:6" x14ac:dyDescent="0.25">
      <c r="A92" s="13">
        <v>42947</v>
      </c>
      <c r="B92" s="3">
        <v>1.07</v>
      </c>
      <c r="C92" s="3">
        <v>6.25</v>
      </c>
      <c r="D92" s="3">
        <v>4.25</v>
      </c>
      <c r="E92" s="3">
        <v>1.25</v>
      </c>
      <c r="F92" s="3">
        <v>1</v>
      </c>
    </row>
    <row r="93" spans="1:6" x14ac:dyDescent="0.25">
      <c r="A93" s="13">
        <v>42978</v>
      </c>
      <c r="B93" s="3">
        <v>1.07</v>
      </c>
      <c r="C93" s="3">
        <v>6.25</v>
      </c>
      <c r="D93" s="3">
        <v>4.25</v>
      </c>
      <c r="E93" s="3">
        <v>1.25</v>
      </c>
      <c r="F93" s="3">
        <v>1</v>
      </c>
    </row>
    <row r="94" spans="1:6" x14ac:dyDescent="0.25">
      <c r="A94" s="13">
        <v>43008</v>
      </c>
      <c r="B94" s="3">
        <v>1.06</v>
      </c>
      <c r="C94" s="3">
        <v>6.25</v>
      </c>
      <c r="D94" s="3">
        <v>4.25</v>
      </c>
      <c r="E94" s="3">
        <v>1.25</v>
      </c>
      <c r="F94" s="3">
        <v>1</v>
      </c>
    </row>
    <row r="95" spans="1:6" x14ac:dyDescent="0.25">
      <c r="A95" s="13">
        <v>43039</v>
      </c>
      <c r="B95" s="3">
        <v>1.07</v>
      </c>
      <c r="C95" s="3">
        <v>6.25</v>
      </c>
      <c r="D95" s="3">
        <v>4.25</v>
      </c>
      <c r="E95" s="3">
        <v>1.25</v>
      </c>
      <c r="F95" s="3">
        <v>1</v>
      </c>
    </row>
    <row r="96" spans="1:6" x14ac:dyDescent="0.25">
      <c r="A96" s="13">
        <v>43069</v>
      </c>
      <c r="B96" s="3">
        <v>1.07</v>
      </c>
      <c r="C96" s="3">
        <v>6.25</v>
      </c>
      <c r="D96" s="3">
        <v>4.25</v>
      </c>
      <c r="E96" s="3">
        <v>1.25</v>
      </c>
      <c r="F96" s="3">
        <v>1</v>
      </c>
    </row>
    <row r="97" spans="1:6" x14ac:dyDescent="0.25">
      <c r="A97" s="13">
        <v>43100</v>
      </c>
      <c r="B97" s="3">
        <v>1.33</v>
      </c>
      <c r="C97" s="3">
        <v>6.25</v>
      </c>
      <c r="D97" s="3">
        <v>4.25</v>
      </c>
      <c r="E97" s="3">
        <v>1.5</v>
      </c>
      <c r="F97" s="3">
        <v>1.25</v>
      </c>
    </row>
    <row r="98" spans="1:6" x14ac:dyDescent="0.25">
      <c r="A98" s="13">
        <v>43131</v>
      </c>
      <c r="B98" s="3">
        <v>1.34</v>
      </c>
      <c r="C98" s="3">
        <v>6.25</v>
      </c>
      <c r="D98" s="3">
        <v>4.25</v>
      </c>
      <c r="E98" s="3">
        <v>1.5</v>
      </c>
      <c r="F98" s="3">
        <v>1.25</v>
      </c>
    </row>
    <row r="99" spans="1:6" x14ac:dyDescent="0.25">
      <c r="A99" s="13">
        <v>43159</v>
      </c>
      <c r="B99" s="3">
        <v>1.35</v>
      </c>
      <c r="C99" s="3">
        <v>6.25</v>
      </c>
      <c r="D99" s="3">
        <v>4.25</v>
      </c>
      <c r="E99" s="3">
        <v>1.5</v>
      </c>
      <c r="F99" s="3">
        <v>1.25</v>
      </c>
    </row>
    <row r="100" spans="1:6" x14ac:dyDescent="0.25">
      <c r="A100" s="13">
        <v>43190</v>
      </c>
      <c r="B100" s="3">
        <v>1.67</v>
      </c>
      <c r="C100" s="3">
        <v>6.25</v>
      </c>
      <c r="D100" s="3">
        <v>4.25</v>
      </c>
      <c r="E100" s="3">
        <v>1.75</v>
      </c>
      <c r="F100" s="3">
        <v>1.5</v>
      </c>
    </row>
    <row r="101" spans="1:6" x14ac:dyDescent="0.25">
      <c r="A101" s="13">
        <v>43220</v>
      </c>
      <c r="B101" s="3">
        <v>1.69</v>
      </c>
      <c r="C101" s="3">
        <v>6.25</v>
      </c>
      <c r="D101" s="3">
        <v>4.25</v>
      </c>
      <c r="E101" s="3">
        <v>1.75</v>
      </c>
      <c r="F101" s="3">
        <v>1.5</v>
      </c>
    </row>
    <row r="102" spans="1:6" x14ac:dyDescent="0.25">
      <c r="A102" s="13">
        <v>43251</v>
      </c>
      <c r="B102" s="3">
        <v>1.7</v>
      </c>
      <c r="C102" s="3">
        <v>6.25</v>
      </c>
      <c r="D102" s="3">
        <v>4.25</v>
      </c>
      <c r="E102" s="3">
        <v>1.75</v>
      </c>
      <c r="F102" s="3">
        <v>1.5</v>
      </c>
    </row>
    <row r="103" spans="1:6" x14ac:dyDescent="0.25">
      <c r="A103" s="13">
        <v>43281</v>
      </c>
      <c r="B103" s="3">
        <v>1.91</v>
      </c>
      <c r="C103" s="3">
        <v>6.25</v>
      </c>
      <c r="D103" s="3">
        <v>4.25</v>
      </c>
      <c r="E103" s="3">
        <v>2</v>
      </c>
      <c r="F103" s="3">
        <v>1.75</v>
      </c>
    </row>
    <row r="104" spans="1:6" x14ac:dyDescent="0.25">
      <c r="A104" s="13">
        <v>43312</v>
      </c>
      <c r="B104" s="3">
        <v>1.91</v>
      </c>
      <c r="C104" s="3">
        <v>6.25</v>
      </c>
      <c r="D104" s="3">
        <v>4.25</v>
      </c>
      <c r="E104" s="3">
        <v>2</v>
      </c>
      <c r="F104" s="3">
        <v>1.75</v>
      </c>
    </row>
    <row r="105" spans="1:6" x14ac:dyDescent="0.25">
      <c r="A105" s="13">
        <v>43343</v>
      </c>
      <c r="B105" s="3">
        <v>1.91</v>
      </c>
      <c r="C105" s="3">
        <v>6.25</v>
      </c>
      <c r="D105" s="3">
        <v>4.25</v>
      </c>
      <c r="E105" s="3">
        <v>2</v>
      </c>
      <c r="F105" s="3">
        <v>1.75</v>
      </c>
    </row>
    <row r="106" spans="1:6" x14ac:dyDescent="0.25">
      <c r="A106" s="13">
        <v>43373</v>
      </c>
      <c r="B106" s="3">
        <v>2.1800000000000002</v>
      </c>
      <c r="C106" s="3">
        <v>6.25</v>
      </c>
      <c r="D106" s="3">
        <v>4.25</v>
      </c>
      <c r="E106" s="3">
        <v>2.25</v>
      </c>
      <c r="F106" s="3">
        <v>2</v>
      </c>
    </row>
    <row r="107" spans="1:6" x14ac:dyDescent="0.25">
      <c r="A107" s="13">
        <v>43404</v>
      </c>
      <c r="B107" s="3">
        <v>2.2000000000000002</v>
      </c>
      <c r="C107" s="3">
        <v>6.25</v>
      </c>
      <c r="D107" s="3">
        <v>4.25</v>
      </c>
      <c r="E107" s="3">
        <v>2.25</v>
      </c>
      <c r="F107" s="3">
        <v>2</v>
      </c>
    </row>
    <row r="108" spans="1:6" x14ac:dyDescent="0.25">
      <c r="A108" s="13">
        <v>43434</v>
      </c>
      <c r="B108" s="3">
        <v>2.2000000000000002</v>
      </c>
      <c r="C108" s="3">
        <v>6.25</v>
      </c>
      <c r="D108" s="3">
        <v>4.25</v>
      </c>
      <c r="E108" s="3">
        <v>2.25</v>
      </c>
      <c r="F108" s="3">
        <v>2</v>
      </c>
    </row>
    <row r="109" spans="1:6" x14ac:dyDescent="0.25">
      <c r="A109" s="13">
        <v>43465</v>
      </c>
      <c r="B109" s="3">
        <v>2.4</v>
      </c>
      <c r="C109" s="3">
        <v>6.25</v>
      </c>
      <c r="D109" s="3">
        <v>4.25</v>
      </c>
      <c r="E109" s="3">
        <v>2.5</v>
      </c>
      <c r="F109" s="3">
        <v>2.25</v>
      </c>
    </row>
    <row r="110" spans="1:6" x14ac:dyDescent="0.25">
      <c r="A110" s="13">
        <v>43496</v>
      </c>
      <c r="B110" s="3">
        <v>2.4</v>
      </c>
      <c r="C110" s="3">
        <v>6.25</v>
      </c>
      <c r="D110" s="3">
        <v>4.25</v>
      </c>
      <c r="E110" s="3">
        <v>2.5</v>
      </c>
      <c r="F110" s="3">
        <v>2.25</v>
      </c>
    </row>
    <row r="111" spans="1:6" x14ac:dyDescent="0.25">
      <c r="A111" s="13">
        <v>43524</v>
      </c>
      <c r="B111" s="3">
        <v>2.4</v>
      </c>
      <c r="C111" s="3">
        <v>6.25</v>
      </c>
      <c r="D111" s="3">
        <v>4.25</v>
      </c>
      <c r="E111" s="3">
        <v>2.5</v>
      </c>
      <c r="F111" s="3">
        <v>2.25</v>
      </c>
    </row>
    <row r="112" spans="1:6" x14ac:dyDescent="0.25">
      <c r="A112" s="13">
        <v>43555</v>
      </c>
      <c r="B112" s="3">
        <v>2.4300000000000002</v>
      </c>
      <c r="C112" s="3">
        <v>6.25</v>
      </c>
      <c r="D112" s="3">
        <v>4.25</v>
      </c>
      <c r="E112" s="3">
        <v>2.5</v>
      </c>
      <c r="F112" s="3">
        <v>2.25</v>
      </c>
    </row>
    <row r="113" spans="1:6" x14ac:dyDescent="0.25">
      <c r="A113" s="13">
        <v>43585</v>
      </c>
      <c r="B113" s="3">
        <v>2.4500000000000002</v>
      </c>
      <c r="C113" s="3">
        <v>6.25</v>
      </c>
      <c r="D113" s="3">
        <v>4.25</v>
      </c>
      <c r="E113" s="3">
        <v>2.5</v>
      </c>
      <c r="F113" s="3">
        <v>2.25</v>
      </c>
    </row>
    <row r="114" spans="1:6" x14ac:dyDescent="0.25">
      <c r="A114" s="13">
        <v>43616</v>
      </c>
      <c r="B114" s="3">
        <v>2.4</v>
      </c>
      <c r="C114" s="3">
        <v>6.25</v>
      </c>
      <c r="D114" s="3">
        <v>4.25</v>
      </c>
      <c r="E114" s="3">
        <v>2.5</v>
      </c>
      <c r="F114" s="3">
        <v>2.25</v>
      </c>
    </row>
    <row r="115" spans="1:6" x14ac:dyDescent="0.25">
      <c r="A115" s="13">
        <v>43646</v>
      </c>
      <c r="B115" s="3">
        <v>2.4</v>
      </c>
      <c r="C115" s="3">
        <v>6.25</v>
      </c>
      <c r="D115" s="3">
        <v>4.25</v>
      </c>
      <c r="E115" s="3">
        <v>2.5</v>
      </c>
      <c r="F115" s="3">
        <v>2.25</v>
      </c>
    </row>
    <row r="116" spans="1:6" x14ac:dyDescent="0.25">
      <c r="A116" s="13">
        <v>43677</v>
      </c>
      <c r="B116" s="3">
        <v>2.4</v>
      </c>
      <c r="C116" s="3">
        <v>6.25</v>
      </c>
      <c r="D116" s="3">
        <v>4.25</v>
      </c>
      <c r="E116" s="3">
        <v>2.5</v>
      </c>
      <c r="F116" s="3">
        <v>2.25</v>
      </c>
    </row>
    <row r="117" spans="1:6" x14ac:dyDescent="0.25">
      <c r="A117" s="13">
        <v>43708</v>
      </c>
      <c r="B117" s="3">
        <v>2.13</v>
      </c>
      <c r="C117" s="3">
        <v>6.25</v>
      </c>
      <c r="D117" s="3">
        <v>4.25</v>
      </c>
      <c r="E117" s="3">
        <v>2.25</v>
      </c>
      <c r="F117" s="3">
        <v>2</v>
      </c>
    </row>
    <row r="118" spans="1:6" x14ac:dyDescent="0.25">
      <c r="A118" s="13">
        <v>43738</v>
      </c>
      <c r="B118" s="3">
        <v>1.9</v>
      </c>
      <c r="C118" s="3">
        <v>6</v>
      </c>
      <c r="D118" s="3">
        <v>4</v>
      </c>
      <c r="E118" s="3">
        <v>2</v>
      </c>
      <c r="F118" s="3">
        <v>1.75</v>
      </c>
    </row>
    <row r="119" spans="1:6" x14ac:dyDescent="0.25">
      <c r="A119" s="13">
        <v>43769</v>
      </c>
      <c r="B119" s="3">
        <v>1.58</v>
      </c>
      <c r="C119" s="3">
        <v>6</v>
      </c>
      <c r="D119" s="3">
        <v>4</v>
      </c>
      <c r="E119" s="3">
        <v>1.75</v>
      </c>
      <c r="F119" s="3">
        <v>1.5</v>
      </c>
    </row>
    <row r="120" spans="1:6" x14ac:dyDescent="0.25">
      <c r="A120" s="13">
        <v>43799</v>
      </c>
      <c r="B120" s="3">
        <v>1.56</v>
      </c>
      <c r="C120" s="3">
        <v>6</v>
      </c>
      <c r="D120" s="3">
        <v>4</v>
      </c>
      <c r="E120" s="3">
        <v>1.75</v>
      </c>
      <c r="F120" s="3">
        <v>1.5</v>
      </c>
    </row>
    <row r="121" spans="1:6" x14ac:dyDescent="0.25">
      <c r="A121" s="13">
        <v>43830</v>
      </c>
      <c r="B121" s="3">
        <v>1.55</v>
      </c>
      <c r="C121" s="3">
        <v>6</v>
      </c>
      <c r="D121" s="3">
        <v>4</v>
      </c>
      <c r="E121" s="3">
        <v>1.75</v>
      </c>
      <c r="F121" s="3">
        <v>1.5</v>
      </c>
    </row>
    <row r="122" spans="1:6" x14ac:dyDescent="0.25">
      <c r="A122" s="13">
        <v>43861</v>
      </c>
      <c r="B122" s="3">
        <v>1.59</v>
      </c>
      <c r="C122" s="3">
        <v>6</v>
      </c>
      <c r="D122" s="3">
        <v>4</v>
      </c>
      <c r="E122" s="3">
        <v>1.75</v>
      </c>
      <c r="F122" s="3">
        <v>1.5</v>
      </c>
    </row>
    <row r="123" spans="1:6" x14ac:dyDescent="0.25">
      <c r="A123" s="13">
        <v>43890</v>
      </c>
      <c r="B123" s="3">
        <v>1.58</v>
      </c>
      <c r="C123" s="3">
        <v>6</v>
      </c>
      <c r="D123" s="3">
        <v>4</v>
      </c>
      <c r="E123" s="3">
        <v>1.75</v>
      </c>
      <c r="F123" s="3">
        <v>1.5</v>
      </c>
    </row>
    <row r="124" spans="1:6" x14ac:dyDescent="0.25">
      <c r="A124" s="13">
        <v>43921</v>
      </c>
      <c r="B124" s="3">
        <v>0.08</v>
      </c>
      <c r="C124" s="3">
        <v>5</v>
      </c>
      <c r="D124" s="3">
        <v>3.5</v>
      </c>
      <c r="E124" s="3">
        <v>0.25</v>
      </c>
      <c r="F124" s="3">
        <v>0</v>
      </c>
    </row>
    <row r="125" spans="1:6" x14ac:dyDescent="0.25">
      <c r="A125" s="13">
        <v>43951</v>
      </c>
      <c r="B125" s="3">
        <v>0.05</v>
      </c>
      <c r="C125" s="3">
        <v>5</v>
      </c>
      <c r="D125" s="3">
        <v>3.5</v>
      </c>
      <c r="E125" s="3">
        <v>0.25</v>
      </c>
      <c r="F125" s="3">
        <v>0</v>
      </c>
    </row>
    <row r="126" spans="1:6" x14ac:dyDescent="0.25">
      <c r="A126" s="13">
        <v>43982</v>
      </c>
      <c r="B126" s="3">
        <v>0.05</v>
      </c>
      <c r="C126" s="3">
        <v>4.5</v>
      </c>
      <c r="D126" s="3">
        <v>3</v>
      </c>
      <c r="E126" s="3">
        <v>0.25</v>
      </c>
      <c r="F126" s="3">
        <v>0</v>
      </c>
    </row>
    <row r="127" spans="1:6" x14ac:dyDescent="0.25">
      <c r="A127" s="13">
        <v>44012</v>
      </c>
      <c r="B127" s="3">
        <v>0.08</v>
      </c>
      <c r="C127" s="3">
        <v>4.5</v>
      </c>
      <c r="D127" s="3">
        <v>3</v>
      </c>
      <c r="E127" s="3">
        <v>0.25</v>
      </c>
      <c r="F127" s="3">
        <v>0</v>
      </c>
    </row>
    <row r="128" spans="1:6" x14ac:dyDescent="0.25">
      <c r="A128" s="13">
        <v>44043</v>
      </c>
      <c r="B128" s="3">
        <v>0.1</v>
      </c>
      <c r="C128" s="3">
        <v>4.5</v>
      </c>
      <c r="D128" s="3">
        <v>3</v>
      </c>
      <c r="E128" s="3">
        <v>0.25</v>
      </c>
      <c r="F128" s="3">
        <v>0</v>
      </c>
    </row>
    <row r="129" spans="1:6" x14ac:dyDescent="0.25">
      <c r="A129" s="13">
        <v>44074</v>
      </c>
      <c r="B129" s="3">
        <v>0.09</v>
      </c>
      <c r="C129" s="3">
        <v>4.5</v>
      </c>
      <c r="D129" s="3">
        <v>3</v>
      </c>
      <c r="E129" s="3">
        <v>0.25</v>
      </c>
      <c r="F129" s="3">
        <v>0</v>
      </c>
    </row>
    <row r="130" spans="1:6" x14ac:dyDescent="0.25">
      <c r="A130" s="13">
        <v>44104</v>
      </c>
      <c r="B130" s="3">
        <v>0.09</v>
      </c>
      <c r="C130" s="3">
        <v>4.5</v>
      </c>
      <c r="D130" s="3">
        <v>3</v>
      </c>
      <c r="E130" s="3">
        <v>0.25</v>
      </c>
      <c r="F130" s="3">
        <v>0</v>
      </c>
    </row>
    <row r="131" spans="1:6" x14ac:dyDescent="0.25">
      <c r="A131" s="13">
        <v>44135</v>
      </c>
      <c r="B131" s="3">
        <v>0.09</v>
      </c>
      <c r="C131" s="3">
        <v>4</v>
      </c>
      <c r="D131" s="3">
        <v>2.5</v>
      </c>
      <c r="E131" s="3">
        <v>0.25</v>
      </c>
      <c r="F131" s="3">
        <v>0</v>
      </c>
    </row>
    <row r="132" spans="1:6" x14ac:dyDescent="0.25">
      <c r="A132" s="13">
        <v>44165</v>
      </c>
      <c r="B132" s="3">
        <v>0.09</v>
      </c>
      <c r="C132" s="3">
        <v>4</v>
      </c>
      <c r="D132" s="3">
        <v>2.5</v>
      </c>
      <c r="E132" s="3">
        <v>0.25</v>
      </c>
      <c r="F132" s="3">
        <v>0</v>
      </c>
    </row>
    <row r="133" spans="1:6" x14ac:dyDescent="0.25">
      <c r="A133" s="13">
        <v>44196</v>
      </c>
      <c r="B133" s="3">
        <v>0.09</v>
      </c>
      <c r="C133" s="3">
        <v>4</v>
      </c>
      <c r="D133" s="3">
        <v>2.5</v>
      </c>
      <c r="E133" s="3">
        <v>0.25</v>
      </c>
      <c r="F133" s="3">
        <v>0</v>
      </c>
    </row>
    <row r="134" spans="1:6" x14ac:dyDescent="0.25">
      <c r="A134" s="13">
        <v>44227</v>
      </c>
      <c r="B134" s="3">
        <v>7.0000000000000007E-2</v>
      </c>
      <c r="C134" s="3">
        <v>4</v>
      </c>
      <c r="D134" s="3">
        <v>2.5</v>
      </c>
      <c r="E134" s="3">
        <v>0.25</v>
      </c>
      <c r="F134" s="3">
        <v>0</v>
      </c>
    </row>
    <row r="135" spans="1:6" x14ac:dyDescent="0.25">
      <c r="A135" s="13">
        <v>44255</v>
      </c>
      <c r="B135" s="3">
        <v>7.0000000000000007E-2</v>
      </c>
      <c r="C135" s="3">
        <v>4</v>
      </c>
      <c r="D135" s="3">
        <v>2.5</v>
      </c>
      <c r="E135" s="3">
        <v>0.25</v>
      </c>
      <c r="F135" s="3">
        <v>0</v>
      </c>
    </row>
    <row r="136" spans="1:6" x14ac:dyDescent="0.25">
      <c r="A136" s="13">
        <v>44286</v>
      </c>
      <c r="B136" s="3">
        <v>0.06</v>
      </c>
      <c r="C136" s="3">
        <v>4</v>
      </c>
      <c r="D136" s="3">
        <v>2.5</v>
      </c>
      <c r="E136" s="3">
        <v>0.25</v>
      </c>
      <c r="F136" s="3">
        <v>0</v>
      </c>
    </row>
    <row r="137" spans="1:6" x14ac:dyDescent="0.25">
      <c r="A137" s="13">
        <v>44316</v>
      </c>
      <c r="B137" s="3">
        <v>0.05</v>
      </c>
      <c r="C137" s="3">
        <v>4</v>
      </c>
      <c r="D137" s="3">
        <v>2.5</v>
      </c>
      <c r="E137" s="3">
        <v>0.25</v>
      </c>
      <c r="F137" s="3">
        <v>0</v>
      </c>
    </row>
    <row r="138" spans="1:6" x14ac:dyDescent="0.25">
      <c r="A138" s="13">
        <v>44347</v>
      </c>
      <c r="B138" s="3">
        <v>0.05</v>
      </c>
      <c r="C138" s="3">
        <v>4</v>
      </c>
      <c r="D138" s="3">
        <v>2.5</v>
      </c>
      <c r="E138" s="3">
        <v>0.25</v>
      </c>
      <c r="F138" s="3">
        <v>0</v>
      </c>
    </row>
    <row r="139" spans="1:6" x14ac:dyDescent="0.25">
      <c r="A139" s="13">
        <v>44377</v>
      </c>
      <c r="B139" s="3">
        <v>0.08</v>
      </c>
      <c r="C139" s="3">
        <v>4</v>
      </c>
      <c r="D139" s="3">
        <v>2.5</v>
      </c>
      <c r="E139" s="3">
        <v>0.25</v>
      </c>
      <c r="F139" s="3">
        <v>0</v>
      </c>
    </row>
    <row r="140" spans="1:6" x14ac:dyDescent="0.25">
      <c r="A140" s="13">
        <v>44408</v>
      </c>
      <c r="B140" s="3">
        <v>7.0000000000000007E-2</v>
      </c>
      <c r="C140" s="3">
        <v>4</v>
      </c>
      <c r="D140" s="3">
        <v>2.5</v>
      </c>
      <c r="E140" s="3">
        <v>0.25</v>
      </c>
      <c r="F140" s="3">
        <v>0</v>
      </c>
    </row>
    <row r="141" spans="1:6" x14ac:dyDescent="0.25">
      <c r="A141" s="13">
        <v>44439</v>
      </c>
      <c r="B141" s="3">
        <v>0.06</v>
      </c>
      <c r="C141" s="3">
        <v>4</v>
      </c>
      <c r="D141" s="3">
        <v>2.5</v>
      </c>
      <c r="E141" s="3">
        <v>0.25</v>
      </c>
      <c r="F141" s="3">
        <v>0</v>
      </c>
    </row>
    <row r="142" spans="1:6" x14ac:dyDescent="0.25">
      <c r="A142" s="13">
        <v>44469</v>
      </c>
      <c r="B142" s="3">
        <v>0.06</v>
      </c>
      <c r="C142" s="3">
        <v>4</v>
      </c>
      <c r="D142" s="3">
        <v>2.5</v>
      </c>
      <c r="E142" s="3">
        <v>0.25</v>
      </c>
      <c r="F142" s="3">
        <v>0</v>
      </c>
    </row>
    <row r="143" spans="1:6" x14ac:dyDescent="0.25">
      <c r="A143" s="13">
        <v>44500</v>
      </c>
      <c r="B143" s="3">
        <v>7.0000000000000007E-2</v>
      </c>
      <c r="C143" s="3">
        <v>4</v>
      </c>
      <c r="D143" s="3">
        <v>2.5</v>
      </c>
      <c r="E143" s="3">
        <v>0.25</v>
      </c>
      <c r="F143" s="3">
        <v>0</v>
      </c>
    </row>
    <row r="144" spans="1:6" x14ac:dyDescent="0.25">
      <c r="A144" s="13">
        <v>44530</v>
      </c>
      <c r="B144" s="3">
        <v>7.0000000000000007E-2</v>
      </c>
      <c r="C144" s="3">
        <v>4</v>
      </c>
      <c r="D144" s="3">
        <v>2.5</v>
      </c>
      <c r="E144" s="3">
        <v>0.25</v>
      </c>
      <c r="F144" s="3">
        <v>0</v>
      </c>
    </row>
    <row r="145" spans="1:6" x14ac:dyDescent="0.25">
      <c r="A145" s="13">
        <v>44561</v>
      </c>
      <c r="B145" s="3">
        <v>7.0000000000000007E-2</v>
      </c>
      <c r="C145" s="3">
        <v>4</v>
      </c>
      <c r="D145" s="3">
        <v>2.5</v>
      </c>
      <c r="E145" s="3">
        <v>0.25</v>
      </c>
      <c r="F145" s="3">
        <v>0</v>
      </c>
    </row>
    <row r="146" spans="1:6" x14ac:dyDescent="0.25">
      <c r="A146" s="13">
        <v>44592</v>
      </c>
      <c r="B146" s="3">
        <v>0.08</v>
      </c>
      <c r="C146" s="3">
        <v>4</v>
      </c>
      <c r="D146" s="3">
        <v>2.5</v>
      </c>
      <c r="E146" s="3">
        <v>0.25</v>
      </c>
      <c r="F146" s="3">
        <v>0</v>
      </c>
    </row>
    <row r="147" spans="1:6" x14ac:dyDescent="0.25">
      <c r="A147" s="13">
        <v>44620</v>
      </c>
      <c r="B147" s="3">
        <v>0.08</v>
      </c>
      <c r="C147" s="3">
        <v>4</v>
      </c>
      <c r="D147" s="3">
        <v>2.5</v>
      </c>
      <c r="E147" s="3">
        <v>0.25</v>
      </c>
      <c r="F147" s="3">
        <v>0</v>
      </c>
    </row>
    <row r="148" spans="1:6" x14ac:dyDescent="0.25">
      <c r="A148" s="13">
        <v>44651</v>
      </c>
      <c r="B148" s="3">
        <v>0.33</v>
      </c>
      <c r="C148" s="3">
        <v>4</v>
      </c>
      <c r="D148" s="3">
        <v>2.5</v>
      </c>
      <c r="E148" s="3">
        <v>0.5</v>
      </c>
      <c r="F148" s="3">
        <v>0.25</v>
      </c>
    </row>
    <row r="149" spans="1:6" x14ac:dyDescent="0.25">
      <c r="A149" s="13">
        <v>44681</v>
      </c>
      <c r="B149" s="3">
        <v>0.33</v>
      </c>
      <c r="C149" s="3">
        <v>4</v>
      </c>
      <c r="D149" s="3">
        <v>2.5</v>
      </c>
      <c r="E149" s="3">
        <v>0.5</v>
      </c>
      <c r="F149" s="3">
        <v>0.25</v>
      </c>
    </row>
    <row r="150" spans="1:6" x14ac:dyDescent="0.25">
      <c r="A150" s="13">
        <v>44712</v>
      </c>
      <c r="B150" s="3">
        <v>0.83</v>
      </c>
      <c r="C150" s="3">
        <v>4</v>
      </c>
      <c r="D150" s="3">
        <v>2.5</v>
      </c>
      <c r="E150" s="3">
        <v>1</v>
      </c>
      <c r="F150" s="3">
        <v>0.75</v>
      </c>
    </row>
    <row r="151" spans="1:6" x14ac:dyDescent="0.25">
      <c r="A151" s="13">
        <v>44742</v>
      </c>
      <c r="B151" s="3">
        <v>1.58</v>
      </c>
      <c r="C151" s="3">
        <v>4</v>
      </c>
      <c r="D151" s="3">
        <v>2.5</v>
      </c>
      <c r="E151" s="3">
        <v>1.75</v>
      </c>
      <c r="F151" s="3">
        <v>1.5</v>
      </c>
    </row>
    <row r="152" spans="1:6" x14ac:dyDescent="0.25">
      <c r="A152" s="13">
        <v>44773</v>
      </c>
      <c r="B152" s="3">
        <v>2.3199999999999998</v>
      </c>
      <c r="C152" s="3">
        <v>4</v>
      </c>
      <c r="D152" s="3">
        <v>2.5</v>
      </c>
      <c r="E152" s="3">
        <v>2.5</v>
      </c>
      <c r="F152" s="3">
        <v>2.25</v>
      </c>
    </row>
    <row r="153" spans="1:6" x14ac:dyDescent="0.25">
      <c r="A153" s="13">
        <v>44804</v>
      </c>
      <c r="B153" s="3">
        <v>2.33</v>
      </c>
      <c r="C153" s="3">
        <v>4</v>
      </c>
      <c r="D153" s="3">
        <v>2.5</v>
      </c>
      <c r="E153" s="3">
        <v>2.5</v>
      </c>
      <c r="F153" s="3">
        <v>2.25</v>
      </c>
    </row>
    <row r="154" spans="1:6" x14ac:dyDescent="0.25">
      <c r="A154" s="13">
        <v>44834</v>
      </c>
      <c r="B154" s="3">
        <v>3.08</v>
      </c>
      <c r="C154" s="3">
        <v>5</v>
      </c>
      <c r="D154" s="3">
        <v>3.5</v>
      </c>
      <c r="E154" s="3">
        <v>3.25</v>
      </c>
      <c r="F154" s="3">
        <v>3</v>
      </c>
    </row>
    <row r="155" spans="1:6" x14ac:dyDescent="0.25">
      <c r="A155" s="13">
        <v>44865</v>
      </c>
      <c r="B155" s="3">
        <v>3.08</v>
      </c>
      <c r="C155" s="3">
        <v>6</v>
      </c>
      <c r="D155" s="3">
        <v>4.5</v>
      </c>
      <c r="E155" s="3">
        <v>3.25</v>
      </c>
      <c r="F155" s="3">
        <v>3</v>
      </c>
    </row>
    <row r="156" spans="1:6" x14ac:dyDescent="0.25">
      <c r="A156" s="13">
        <v>44895</v>
      </c>
      <c r="B156" s="3">
        <v>3.83</v>
      </c>
      <c r="C156" s="3">
        <v>6</v>
      </c>
      <c r="D156" s="3">
        <v>4.5</v>
      </c>
      <c r="E156" s="3">
        <v>4</v>
      </c>
      <c r="F156" s="3">
        <v>3.75</v>
      </c>
    </row>
    <row r="157" spans="1:6" x14ac:dyDescent="0.25">
      <c r="A157" s="13">
        <v>44926</v>
      </c>
      <c r="B157" s="3">
        <v>4.33</v>
      </c>
      <c r="C157" s="3">
        <v>6</v>
      </c>
      <c r="D157" s="3">
        <v>4.5</v>
      </c>
      <c r="E157" s="3">
        <v>4.5</v>
      </c>
      <c r="F157" s="3">
        <v>4.25</v>
      </c>
    </row>
    <row r="158" spans="1:6" x14ac:dyDescent="0.25">
      <c r="A158" s="13">
        <v>44957</v>
      </c>
      <c r="B158" s="3">
        <v>4.33</v>
      </c>
      <c r="C158" s="3">
        <v>6</v>
      </c>
      <c r="D158" s="3">
        <v>4.5</v>
      </c>
      <c r="E158" s="3">
        <v>4.5</v>
      </c>
      <c r="F158" s="3">
        <v>4.25</v>
      </c>
    </row>
    <row r="159" spans="1:6" x14ac:dyDescent="0.25">
      <c r="A159" s="13">
        <v>44985</v>
      </c>
      <c r="B159" s="3">
        <v>4.57</v>
      </c>
      <c r="C159" s="3">
        <v>6</v>
      </c>
      <c r="D159" s="3">
        <v>4.5</v>
      </c>
      <c r="E159" s="3">
        <v>4.75</v>
      </c>
      <c r="F159" s="3">
        <v>4.5</v>
      </c>
    </row>
    <row r="160" spans="1:6" x14ac:dyDescent="0.25">
      <c r="A160" s="13">
        <v>45016</v>
      </c>
      <c r="B160" s="3">
        <v>4.83</v>
      </c>
      <c r="C160" s="3">
        <v>6</v>
      </c>
      <c r="D160" s="3">
        <v>3.5</v>
      </c>
      <c r="E160" s="3">
        <v>5</v>
      </c>
      <c r="F160" s="3">
        <v>4.75</v>
      </c>
    </row>
    <row r="161" spans="1:6" x14ac:dyDescent="0.25">
      <c r="A161" s="13">
        <v>45046</v>
      </c>
      <c r="B161" s="3">
        <v>4.83</v>
      </c>
      <c r="C161" s="3">
        <v>5.5</v>
      </c>
      <c r="D161" s="3">
        <v>3.5</v>
      </c>
      <c r="E161" s="3">
        <v>5</v>
      </c>
      <c r="F161" s="3">
        <v>4.75</v>
      </c>
    </row>
    <row r="162" spans="1:6" x14ac:dyDescent="0.25">
      <c r="A162" s="13">
        <v>45077</v>
      </c>
      <c r="B162" s="3">
        <v>5.08</v>
      </c>
      <c r="C162" s="3">
        <v>5</v>
      </c>
      <c r="D162" s="3">
        <v>3.5</v>
      </c>
      <c r="E162" s="3">
        <v>5.25</v>
      </c>
      <c r="F162" s="3">
        <v>5</v>
      </c>
    </row>
    <row r="163" spans="1:6" x14ac:dyDescent="0.25">
      <c r="A163" s="13">
        <v>45107</v>
      </c>
      <c r="B163" s="3">
        <v>5.08</v>
      </c>
      <c r="C163" s="3">
        <v>4.5</v>
      </c>
      <c r="D163" s="3">
        <v>3</v>
      </c>
      <c r="E163" s="3">
        <v>5.25</v>
      </c>
      <c r="F163" s="3">
        <v>5</v>
      </c>
    </row>
    <row r="164" spans="1:6" x14ac:dyDescent="0.25">
      <c r="A164" s="13">
        <v>45138</v>
      </c>
      <c r="B164" s="3">
        <v>5.33</v>
      </c>
      <c r="C164" s="3">
        <v>4.5</v>
      </c>
      <c r="D164" s="3">
        <v>3</v>
      </c>
      <c r="E164" s="3">
        <v>5.5</v>
      </c>
      <c r="F164" s="3">
        <v>5.25</v>
      </c>
    </row>
    <row r="165" spans="1:6" x14ac:dyDescent="0.25">
      <c r="A165" s="13">
        <v>45169</v>
      </c>
      <c r="B165" s="3">
        <v>5.33</v>
      </c>
      <c r="C165" s="3">
        <v>4.5</v>
      </c>
      <c r="D165" s="3">
        <v>3</v>
      </c>
      <c r="E165" s="3">
        <v>5.5</v>
      </c>
      <c r="F165" s="3">
        <v>5.25</v>
      </c>
    </row>
    <row r="166" spans="1:6" x14ac:dyDescent="0.25">
      <c r="A166" s="13">
        <v>45199</v>
      </c>
      <c r="B166" s="3">
        <v>5.33</v>
      </c>
      <c r="C166" s="3">
        <v>4.5</v>
      </c>
      <c r="D166" s="3">
        <v>3</v>
      </c>
      <c r="E166" s="3">
        <v>5.5</v>
      </c>
      <c r="F166" s="3">
        <v>5.25</v>
      </c>
    </row>
    <row r="167" spans="1:6" x14ac:dyDescent="0.25">
      <c r="A167" s="13">
        <v>45230</v>
      </c>
      <c r="B167" s="3">
        <v>5.33</v>
      </c>
      <c r="C167" s="3">
        <v>4.5</v>
      </c>
      <c r="D167" s="3">
        <v>3</v>
      </c>
      <c r="E167" s="3">
        <v>5.5</v>
      </c>
      <c r="F167" s="3">
        <v>5.25</v>
      </c>
    </row>
    <row r="168" spans="1:6" x14ac:dyDescent="0.25">
      <c r="A168" s="13">
        <v>45260</v>
      </c>
      <c r="B168" s="3">
        <v>5.33</v>
      </c>
      <c r="C168" s="3">
        <v>4.5</v>
      </c>
      <c r="D168" s="3">
        <v>3</v>
      </c>
      <c r="E168" s="3">
        <v>5.5</v>
      </c>
      <c r="F168" s="3">
        <v>5.25</v>
      </c>
    </row>
    <row r="169" spans="1:6" x14ac:dyDescent="0.25">
      <c r="A169" s="13">
        <v>45291</v>
      </c>
      <c r="B169" s="3">
        <v>5.33</v>
      </c>
      <c r="C169" s="3">
        <v>4.5</v>
      </c>
      <c r="D169" s="3">
        <v>3</v>
      </c>
      <c r="E169" s="3">
        <v>5.5</v>
      </c>
      <c r="F169" s="3">
        <v>5.25</v>
      </c>
    </row>
    <row r="170" spans="1:6" x14ac:dyDescent="0.25">
      <c r="A170" s="13">
        <v>45322</v>
      </c>
      <c r="B170" s="3">
        <v>5.33</v>
      </c>
      <c r="C170" s="3">
        <v>4.5</v>
      </c>
      <c r="D170" s="3">
        <v>3</v>
      </c>
      <c r="E170" s="3">
        <v>5.5</v>
      </c>
      <c r="F170" s="3">
        <v>5.25</v>
      </c>
    </row>
    <row r="171" spans="1:6" x14ac:dyDescent="0.25">
      <c r="A171" s="13">
        <v>45351</v>
      </c>
      <c r="B171" s="3">
        <v>5.33</v>
      </c>
      <c r="C171" s="3">
        <v>4.5</v>
      </c>
      <c r="D171" s="3">
        <v>3</v>
      </c>
      <c r="E171" s="3">
        <v>5.5</v>
      </c>
      <c r="F171" s="3">
        <v>5.25</v>
      </c>
    </row>
    <row r="172" spans="1:6" x14ac:dyDescent="0.25">
      <c r="A172" s="13">
        <v>45382</v>
      </c>
      <c r="B172" s="3">
        <v>5.33</v>
      </c>
      <c r="C172" s="3">
        <v>4.5</v>
      </c>
      <c r="D172" s="3">
        <v>3</v>
      </c>
      <c r="E172" s="3">
        <v>5.5</v>
      </c>
      <c r="F172" s="3">
        <v>5.25</v>
      </c>
    </row>
    <row r="173" spans="1:6" x14ac:dyDescent="0.25">
      <c r="A173" s="13">
        <v>45412</v>
      </c>
      <c r="B173" s="3">
        <v>5.33</v>
      </c>
      <c r="C173" s="3">
        <v>4.5</v>
      </c>
      <c r="D173" s="3">
        <v>3</v>
      </c>
      <c r="E173" s="3">
        <v>5.5</v>
      </c>
      <c r="F173" s="3">
        <v>5.25</v>
      </c>
    </row>
    <row r="174" spans="1:6" x14ac:dyDescent="0.25">
      <c r="A174" s="13">
        <v>45443</v>
      </c>
      <c r="B174" s="3">
        <v>5.33</v>
      </c>
      <c r="C174" s="3">
        <v>4.5</v>
      </c>
      <c r="D174" s="3">
        <v>3</v>
      </c>
      <c r="E174" s="3">
        <v>5.5</v>
      </c>
      <c r="F174" s="3">
        <v>5.25</v>
      </c>
    </row>
    <row r="175" spans="1:6" x14ac:dyDescent="0.25">
      <c r="A175" s="13">
        <v>45473</v>
      </c>
      <c r="B175" s="3">
        <v>5.33</v>
      </c>
      <c r="C175" s="3">
        <v>4.5</v>
      </c>
      <c r="D175" s="3">
        <v>3</v>
      </c>
      <c r="E175" s="3">
        <v>5.5</v>
      </c>
      <c r="F175" s="3">
        <v>5.25</v>
      </c>
    </row>
    <row r="176" spans="1:6" x14ac:dyDescent="0.25">
      <c r="A176" s="13">
        <v>45504</v>
      </c>
      <c r="B176" s="3">
        <v>5.33</v>
      </c>
      <c r="C176" s="3">
        <v>4.5</v>
      </c>
      <c r="D176" s="3">
        <v>3</v>
      </c>
      <c r="E176" s="3">
        <v>5.5</v>
      </c>
      <c r="F176" s="3">
        <v>5.25</v>
      </c>
    </row>
    <row r="177" spans="1:6" x14ac:dyDescent="0.25">
      <c r="A177" s="13">
        <v>45535</v>
      </c>
      <c r="B177" s="3">
        <v>5.33</v>
      </c>
      <c r="C177" s="3">
        <v>4.5</v>
      </c>
      <c r="D177" s="3">
        <v>3</v>
      </c>
      <c r="E177" s="3">
        <v>5.5</v>
      </c>
      <c r="F177" s="3">
        <v>5.25</v>
      </c>
    </row>
    <row r="178" spans="1:6" x14ac:dyDescent="0.25">
      <c r="A178" s="13">
        <v>45565</v>
      </c>
      <c r="B178" s="3">
        <v>4.83</v>
      </c>
      <c r="C178" s="3">
        <v>4.5</v>
      </c>
      <c r="D178" s="3">
        <v>3</v>
      </c>
      <c r="E178" s="3">
        <v>5</v>
      </c>
      <c r="F178" s="3">
        <v>4.75</v>
      </c>
    </row>
    <row r="179" spans="1:6" x14ac:dyDescent="0.25">
      <c r="A179" s="13">
        <v>45596</v>
      </c>
      <c r="B179" s="3">
        <v>4.83</v>
      </c>
      <c r="C179" s="3">
        <v>4.5</v>
      </c>
      <c r="D179" s="3">
        <v>3</v>
      </c>
      <c r="E179" s="3">
        <v>5</v>
      </c>
      <c r="F179" s="3">
        <v>4.75</v>
      </c>
    </row>
    <row r="180" spans="1:6" x14ac:dyDescent="0.25">
      <c r="A180" s="13">
        <v>45626</v>
      </c>
      <c r="B180" s="3">
        <v>4.58</v>
      </c>
      <c r="C180" s="3">
        <v>4.5</v>
      </c>
      <c r="D180" s="3">
        <v>3</v>
      </c>
      <c r="E180" s="3">
        <v>4.75</v>
      </c>
      <c r="F180" s="3">
        <v>4.5</v>
      </c>
    </row>
    <row r="181" spans="1:6" x14ac:dyDescent="0.25">
      <c r="A181" s="13">
        <v>45657</v>
      </c>
      <c r="B181" s="3">
        <v>4.33</v>
      </c>
      <c r="C181" s="3">
        <v>4.5</v>
      </c>
      <c r="D181" s="3">
        <v>3</v>
      </c>
      <c r="E181" s="3">
        <v>4.5</v>
      </c>
      <c r="F181" s="3">
        <v>4.25</v>
      </c>
    </row>
    <row r="182" spans="1:6" x14ac:dyDescent="0.25">
      <c r="A182" s="13">
        <v>45688</v>
      </c>
      <c r="B182" s="3">
        <v>4.33</v>
      </c>
      <c r="C182" s="3">
        <v>4.5</v>
      </c>
      <c r="D182" s="3">
        <v>3</v>
      </c>
      <c r="E182" s="3">
        <v>4.5</v>
      </c>
      <c r="F182" s="3">
        <v>4.25</v>
      </c>
    </row>
    <row r="183" spans="1:6" x14ac:dyDescent="0.25">
      <c r="A183" s="13">
        <v>45716</v>
      </c>
      <c r="B183" s="3">
        <v>4.33</v>
      </c>
      <c r="C183" s="3">
        <v>4.5</v>
      </c>
      <c r="D183" s="3">
        <v>3</v>
      </c>
      <c r="E183" s="3">
        <v>4.5</v>
      </c>
      <c r="F183" s="3">
        <v>4.25</v>
      </c>
    </row>
    <row r="184" spans="1:6" x14ac:dyDescent="0.25">
      <c r="A184" s="13">
        <v>45747</v>
      </c>
      <c r="B184" s="3">
        <v>4.33</v>
      </c>
      <c r="C184" s="3">
        <v>4.5</v>
      </c>
      <c r="D184" s="3">
        <v>3</v>
      </c>
      <c r="E184" s="3">
        <v>4.5</v>
      </c>
      <c r="F184" s="3">
        <v>4.25</v>
      </c>
    </row>
    <row r="185" spans="1:6" x14ac:dyDescent="0.25">
      <c r="A185" s="13">
        <v>45777</v>
      </c>
      <c r="B185" s="3">
        <v>4.33</v>
      </c>
      <c r="C185" s="3">
        <v>4.5</v>
      </c>
      <c r="D185" s="3">
        <v>3</v>
      </c>
      <c r="E185" s="3">
        <v>4.5</v>
      </c>
      <c r="F185" s="3">
        <v>4.25</v>
      </c>
    </row>
    <row r="186" spans="1:6" x14ac:dyDescent="0.25">
      <c r="A186" s="13">
        <v>45808</v>
      </c>
      <c r="B186" s="3">
        <v>4.33</v>
      </c>
      <c r="C186" s="3">
        <v>4.5</v>
      </c>
      <c r="D186" s="3">
        <v>3</v>
      </c>
      <c r="E186" s="3">
        <v>4.5</v>
      </c>
      <c r="F186" s="3">
        <v>4.25</v>
      </c>
    </row>
    <row r="187" spans="1:6" x14ac:dyDescent="0.25">
      <c r="A187" s="13">
        <v>45838</v>
      </c>
      <c r="B187" s="3">
        <v>4.33</v>
      </c>
      <c r="C187" s="3">
        <v>4.5</v>
      </c>
      <c r="D187" s="3">
        <v>3</v>
      </c>
      <c r="E187" s="3">
        <v>4.5</v>
      </c>
      <c r="F187" s="3">
        <v>4.25</v>
      </c>
    </row>
    <row r="188" spans="1:6" x14ac:dyDescent="0.25">
      <c r="A188" s="13">
        <v>45869</v>
      </c>
      <c r="B188" s="3">
        <v>4.33</v>
      </c>
      <c r="C188" s="3">
        <v>4.5</v>
      </c>
      <c r="D188" s="3">
        <v>3</v>
      </c>
      <c r="E188" s="3">
        <v>4.5</v>
      </c>
      <c r="F188" s="3">
        <v>4.25</v>
      </c>
    </row>
    <row r="189" spans="1:6" x14ac:dyDescent="0.25">
      <c r="A189" s="13">
        <v>45900</v>
      </c>
      <c r="B189" s="3">
        <v>4.33</v>
      </c>
      <c r="C189" s="3">
        <v>4.5</v>
      </c>
      <c r="D189" s="3">
        <v>3</v>
      </c>
      <c r="E189" s="3">
        <v>4.5</v>
      </c>
      <c r="F189" s="3">
        <v>4.25</v>
      </c>
    </row>
    <row r="190" spans="1:6" x14ac:dyDescent="0.25">
      <c r="A190" s="13">
        <v>45930</v>
      </c>
      <c r="B190" s="3">
        <v>4.09</v>
      </c>
      <c r="C190" s="3">
        <v>4.5</v>
      </c>
      <c r="D190" s="3">
        <v>3</v>
      </c>
      <c r="E190" s="3">
        <v>4.25</v>
      </c>
      <c r="F190" s="3">
        <v>4</v>
      </c>
    </row>
    <row r="191" spans="1:6" x14ac:dyDescent="0.25">
      <c r="A191" s="13">
        <v>45961</v>
      </c>
      <c r="B191" s="3">
        <v>3.86</v>
      </c>
      <c r="C191" s="3">
        <v>4.5</v>
      </c>
      <c r="D191" s="3">
        <v>3</v>
      </c>
      <c r="E191" s="3">
        <v>4</v>
      </c>
      <c r="F191" s="3">
        <v>3.75</v>
      </c>
    </row>
    <row r="192" spans="1:6" x14ac:dyDescent="0.25">
      <c r="A192" s="13">
        <v>45991</v>
      </c>
      <c r="B192" s="3">
        <v>3.89</v>
      </c>
      <c r="C192" s="3">
        <v>4.5</v>
      </c>
      <c r="D192" s="3">
        <v>3</v>
      </c>
      <c r="E192" s="3">
        <v>4</v>
      </c>
      <c r="F192" s="3">
        <v>3.75</v>
      </c>
    </row>
    <row r="193" spans="1:6" x14ac:dyDescent="0.25">
      <c r="A193" s="13">
        <v>46022</v>
      </c>
      <c r="B193" s="3">
        <v>3.64</v>
      </c>
      <c r="C193" s="3">
        <v>4.5</v>
      </c>
      <c r="D193" s="3">
        <v>3</v>
      </c>
      <c r="E193" s="3">
        <v>3.75</v>
      </c>
      <c r="F193" s="3">
        <v>3.5</v>
      </c>
    </row>
    <row r="194" spans="1:6" x14ac:dyDescent="0.25">
      <c r="A194" s="13">
        <v>46053</v>
      </c>
      <c r="B194" s="3">
        <v>3.64</v>
      </c>
      <c r="C194" s="3">
        <v>4.5</v>
      </c>
      <c r="D194" s="3">
        <v>3</v>
      </c>
      <c r="E194" s="3">
        <v>3.75</v>
      </c>
      <c r="F194" s="3">
        <v>3.5</v>
      </c>
    </row>
    <row r="195" spans="1:6" x14ac:dyDescent="0.25">
      <c r="A195" s="13">
        <v>46081</v>
      </c>
      <c r="B195" s="3">
        <v>3.64</v>
      </c>
      <c r="C195" s="3">
        <v>4.5</v>
      </c>
      <c r="D195" s="3">
        <v>3</v>
      </c>
      <c r="E195" s="3">
        <v>3.75</v>
      </c>
      <c r="F195" s="3">
        <v>3.5</v>
      </c>
    </row>
    <row r="196" spans="1:6" x14ac:dyDescent="0.25">
      <c r="A196" s="13">
        <v>46112</v>
      </c>
      <c r="B196" s="3">
        <v>3.64</v>
      </c>
      <c r="C196" s="3">
        <v>4.5</v>
      </c>
      <c r="D196" s="3">
        <v>3</v>
      </c>
      <c r="E196" s="3">
        <v>3.75</v>
      </c>
      <c r="F196" s="3">
        <v>3.5</v>
      </c>
    </row>
    <row r="197" spans="1:6" x14ac:dyDescent="0.25">
      <c r="A197" s="13">
        <v>46142</v>
      </c>
      <c r="B197" s="3">
        <v>3.64</v>
      </c>
      <c r="C197" s="3">
        <v>4.5</v>
      </c>
      <c r="D197" s="3">
        <v>3</v>
      </c>
      <c r="E197" s="3">
        <v>3.75</v>
      </c>
      <c r="F197" s="3">
        <v>3.5</v>
      </c>
    </row>
    <row r="198" spans="1:6" x14ac:dyDescent="0.25">
      <c r="A198" s="13">
        <v>46173</v>
      </c>
      <c r="B198" s="3">
        <v>3.62</v>
      </c>
      <c r="C198" s="3">
        <v>4.5</v>
      </c>
      <c r="D198" s="3">
        <v>3</v>
      </c>
      <c r="E198" s="3">
        <v>3.75</v>
      </c>
      <c r="F198" s="3">
        <v>3.5</v>
      </c>
    </row>
    <row r="199" spans="1:6" x14ac:dyDescent="0.25">
      <c r="A199" s="13">
        <v>46203</v>
      </c>
      <c r="B199" s="3">
        <v>3.63</v>
      </c>
      <c r="C199" s="3">
        <v>4.5</v>
      </c>
      <c r="D199" s="3">
        <v>3</v>
      </c>
      <c r="E199" s="3">
        <v>3.75</v>
      </c>
      <c r="F199" s="3">
        <v>3.5</v>
      </c>
    </row>
    <row r="200" spans="1:6" x14ac:dyDescent="0.25">
      <c r="A200" s="13">
        <v>46234</v>
      </c>
      <c r="B200" s="3">
        <v>3.63</v>
      </c>
      <c r="C200" s="3">
        <v>4.5</v>
      </c>
      <c r="D200" s="3">
        <v>3</v>
      </c>
      <c r="E200" s="3">
        <v>3.75</v>
      </c>
      <c r="F200" s="3">
        <v>3.5</v>
      </c>
    </row>
    <row r="201" spans="1:6" x14ac:dyDescent="0.25">
      <c r="A201" s="13">
        <v>46265</v>
      </c>
      <c r="B201" s="3">
        <v>3.63</v>
      </c>
      <c r="C201" s="3">
        <v>4.5</v>
      </c>
      <c r="D201" s="3">
        <v>3</v>
      </c>
      <c r="E201" s="3">
        <v>3.75</v>
      </c>
      <c r="F201" s="3">
        <v>3.5</v>
      </c>
    </row>
    <row r="202" spans="1:6" x14ac:dyDescent="0.25">
      <c r="A202" s="13">
        <v>46295</v>
      </c>
      <c r="B202" s="3">
        <v>3.88</v>
      </c>
      <c r="C202" s="3">
        <v>4.5</v>
      </c>
      <c r="D202" s="3">
        <v>3</v>
      </c>
      <c r="E202" s="3">
        <v>4</v>
      </c>
      <c r="F202" s="3">
        <v>3.75</v>
      </c>
    </row>
    <row r="203" spans="1:6" x14ac:dyDescent="0.25">
      <c r="A203" s="13">
        <v>46326</v>
      </c>
      <c r="B203" s="3">
        <v>3.88</v>
      </c>
      <c r="C203" s="3">
        <v>4.5</v>
      </c>
      <c r="D203" s="3">
        <v>3</v>
      </c>
      <c r="E203" s="3">
        <v>4</v>
      </c>
      <c r="F203" s="3">
        <v>3.75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8"/>
  <sheetViews>
    <sheetView workbookViewId="0">
      <pane xSplit="1" ySplit="1" topLeftCell="B2" activePane="bottomRight" state="frozen"/>
      <selection pane="topRight"/>
      <selection pane="bottomLeft"/>
      <selection pane="bottomRight" activeCell="H28" sqref="H28"/>
    </sheetView>
  </sheetViews>
  <sheetFormatPr defaultRowHeight="15" x14ac:dyDescent="0.25"/>
  <cols>
    <col min="1" max="1" width="10.42578125" bestFit="1" customWidth="1"/>
    <col min="2" max="2" width="34.140625" bestFit="1" customWidth="1"/>
    <col min="3" max="3" width="37" bestFit="1" customWidth="1"/>
    <col min="4" max="4" width="13.85546875" bestFit="1" customWidth="1"/>
    <col min="5" max="5" width="40" customWidth="1"/>
    <col min="6" max="6" width="34.5703125" bestFit="1" customWidth="1"/>
    <col min="7" max="7" width="27.85546875" bestFit="1" customWidth="1"/>
    <col min="8" max="8" width="25" bestFit="1" customWidth="1"/>
    <col min="9" max="9" width="27.7109375" bestFit="1" customWidth="1"/>
    <col min="10" max="10" width="33.5703125" bestFit="1" customWidth="1"/>
    <col min="11" max="11" width="20.7109375" bestFit="1" customWidth="1"/>
    <col min="12" max="12" width="44.5703125" bestFit="1" customWidth="1"/>
    <col min="13" max="13" width="48.7109375" bestFit="1" customWidth="1"/>
    <col min="14" max="14" width="41.42578125" bestFit="1" customWidth="1"/>
    <col min="15" max="15" width="27.28515625" bestFit="1" customWidth="1"/>
    <col min="16" max="16" width="23.85546875" bestFit="1" customWidth="1"/>
    <col min="17" max="17" width="36.28515625" bestFit="1" customWidth="1"/>
    <col min="18" max="18" width="46" bestFit="1" customWidth="1"/>
    <col min="19" max="19" width="40.140625" bestFit="1" customWidth="1"/>
    <col min="20" max="20" width="49.28515625" bestFit="1" customWidth="1"/>
    <col min="21" max="21" width="34.5703125" bestFit="1" customWidth="1"/>
    <col min="22" max="22" width="38.28515625" bestFit="1" customWidth="1"/>
    <col min="23" max="23" width="40" bestFit="1" customWidth="1"/>
    <col min="24" max="24" width="45.28515625" bestFit="1" customWidth="1"/>
  </cols>
  <sheetData>
    <row r="1" spans="1:24" x14ac:dyDescent="0.25">
      <c r="A1" s="1" t="s">
        <v>0</v>
      </c>
      <c r="B1" s="1" t="s">
        <v>14</v>
      </c>
      <c r="C1" s="1" t="s">
        <v>25</v>
      </c>
      <c r="D1" s="5" t="s">
        <v>67</v>
      </c>
      <c r="E1" s="5"/>
      <c r="F1" s="21" t="s">
        <v>15</v>
      </c>
      <c r="G1" s="21" t="s">
        <v>16</v>
      </c>
      <c r="H1" s="21" t="s">
        <v>17</v>
      </c>
      <c r="I1" s="21" t="s">
        <v>18</v>
      </c>
      <c r="J1" s="21" t="s">
        <v>19</v>
      </c>
      <c r="K1" s="21" t="s">
        <v>20</v>
      </c>
      <c r="L1" s="21" t="s">
        <v>21</v>
      </c>
      <c r="M1" s="21" t="s">
        <v>22</v>
      </c>
      <c r="N1" s="21" t="s">
        <v>23</v>
      </c>
      <c r="O1" s="21" t="s">
        <v>24</v>
      </c>
      <c r="P1" s="21" t="s">
        <v>26</v>
      </c>
      <c r="Q1" s="21" t="s">
        <v>27</v>
      </c>
      <c r="R1" s="21" t="s">
        <v>28</v>
      </c>
      <c r="S1" s="21" t="s">
        <v>29</v>
      </c>
      <c r="T1" s="21" t="s">
        <v>30</v>
      </c>
      <c r="U1" s="21" t="s">
        <v>31</v>
      </c>
      <c r="V1" s="21" t="s">
        <v>32</v>
      </c>
      <c r="W1" s="21" t="s">
        <v>33</v>
      </c>
      <c r="X1" s="21" t="s">
        <v>34</v>
      </c>
    </row>
    <row r="2" spans="1:24" x14ac:dyDescent="0.25">
      <c r="A2" s="13">
        <v>40268</v>
      </c>
      <c r="B2" s="2">
        <v>1998111</v>
      </c>
      <c r="C2" s="2">
        <v>2157828.4967716201</v>
      </c>
      <c r="D2" s="7">
        <f>B2/C2</f>
        <v>0.92598230257382486</v>
      </c>
      <c r="E2" s="7"/>
      <c r="F2" s="18"/>
      <c r="G2" s="18"/>
      <c r="H2" s="18"/>
      <c r="I2" s="18"/>
      <c r="J2" s="18"/>
      <c r="K2" s="18"/>
      <c r="L2" s="18"/>
      <c r="M2" s="22">
        <v>3.07</v>
      </c>
      <c r="N2" s="22">
        <v>33.728463207547158</v>
      </c>
      <c r="O2" s="17">
        <v>412972.121828467</v>
      </c>
      <c r="P2" s="22">
        <v>1.2697223964273101</v>
      </c>
      <c r="Q2" s="17">
        <v>524359.95218571206</v>
      </c>
      <c r="R2" s="18"/>
      <c r="S2" s="18"/>
      <c r="T2" s="18"/>
      <c r="U2" s="18"/>
      <c r="V2" s="18"/>
      <c r="W2" s="18"/>
      <c r="X2" s="18"/>
    </row>
    <row r="3" spans="1:24" x14ac:dyDescent="0.25">
      <c r="A3" s="13">
        <v>40359</v>
      </c>
      <c r="B3" s="2">
        <v>2136551</v>
      </c>
      <c r="C3" s="2">
        <v>2157828.4967716201</v>
      </c>
      <c r="D3" s="7">
        <f t="shared" ref="D3:D66" si="0">B3/C3</f>
        <v>0.99013939393077166</v>
      </c>
      <c r="E3" s="7"/>
      <c r="F3" s="18"/>
      <c r="G3" s="18"/>
      <c r="H3" s="18"/>
      <c r="I3" s="18"/>
      <c r="J3" s="18"/>
      <c r="K3" s="18"/>
      <c r="L3" s="18"/>
      <c r="M3" s="22">
        <v>10.210000000000001</v>
      </c>
      <c r="N3" s="22">
        <v>26.22569370419718</v>
      </c>
      <c r="O3" s="17">
        <v>526576.77452807897</v>
      </c>
      <c r="P3" s="22">
        <v>1.2697223964273101</v>
      </c>
      <c r="Q3" s="17">
        <v>668606.32405675552</v>
      </c>
      <c r="R3" s="18"/>
      <c r="S3" s="18"/>
      <c r="T3" s="18"/>
      <c r="U3" s="18"/>
      <c r="V3" s="18"/>
      <c r="W3" s="18"/>
      <c r="X3" s="18"/>
    </row>
    <row r="4" spans="1:24" x14ac:dyDescent="0.25">
      <c r="A4" s="13">
        <v>40451</v>
      </c>
      <c r="B4" s="2">
        <v>2310569</v>
      </c>
      <c r="C4" s="2">
        <v>2157828.4967716201</v>
      </c>
      <c r="D4" s="7">
        <f t="shared" si="0"/>
        <v>1.0707843572632851</v>
      </c>
      <c r="E4" s="7"/>
      <c r="F4" s="18"/>
      <c r="G4" s="18"/>
      <c r="H4" s="18"/>
      <c r="I4" s="18"/>
      <c r="J4" s="18"/>
      <c r="K4" s="18"/>
      <c r="L4" s="18"/>
      <c r="M4" s="22">
        <v>19.190000000000001</v>
      </c>
      <c r="N4" s="22">
        <v>25.322635321100901</v>
      </c>
      <c r="O4" s="17">
        <v>544790.47612692195</v>
      </c>
      <c r="P4" s="22">
        <v>1.2697223964273101</v>
      </c>
      <c r="Q4" s="17">
        <v>691732.66889865033</v>
      </c>
      <c r="R4" s="18"/>
      <c r="S4" s="18"/>
      <c r="T4" s="18"/>
      <c r="U4" s="18"/>
      <c r="V4" s="18"/>
      <c r="W4" s="18"/>
      <c r="X4" s="18"/>
    </row>
    <row r="5" spans="1:24" x14ac:dyDescent="0.25">
      <c r="A5" s="13">
        <v>40543</v>
      </c>
      <c r="B5" s="2">
        <v>2511463</v>
      </c>
      <c r="C5" s="2">
        <v>2157828.4967716201</v>
      </c>
      <c r="D5" s="7">
        <f t="shared" si="0"/>
        <v>1.1638844346329937</v>
      </c>
      <c r="E5" s="7"/>
      <c r="F5" s="18"/>
      <c r="G5" s="18"/>
      <c r="H5" s="18"/>
      <c r="I5" s="18"/>
      <c r="J5" s="18"/>
      <c r="K5" s="18"/>
      <c r="L5" s="18"/>
      <c r="M5" s="22">
        <v>29.55</v>
      </c>
      <c r="N5" s="22">
        <v>29.550000000000011</v>
      </c>
      <c r="O5" s="17">
        <v>673489.12428815197</v>
      </c>
      <c r="P5" s="22">
        <v>1.2697223964273101</v>
      </c>
      <c r="Q5" s="17">
        <v>855144.22485888249</v>
      </c>
      <c r="R5" s="17">
        <v>2739843.17</v>
      </c>
      <c r="S5" s="17">
        <v>2739843.17</v>
      </c>
      <c r="T5" s="18"/>
      <c r="U5" s="18"/>
      <c r="V5" s="22">
        <v>91.664480197236969</v>
      </c>
      <c r="W5" s="22">
        <v>116.3884434632994</v>
      </c>
      <c r="X5" s="18"/>
    </row>
    <row r="6" spans="1:24" x14ac:dyDescent="0.25">
      <c r="A6" s="13">
        <v>40633</v>
      </c>
      <c r="B6" s="2">
        <v>2637036</v>
      </c>
      <c r="C6" s="2">
        <v>2251256.3661557739</v>
      </c>
      <c r="D6" s="7">
        <f t="shared" si="0"/>
        <v>1.171361929118264</v>
      </c>
      <c r="E6" s="7"/>
      <c r="F6" s="18"/>
      <c r="G6" s="18"/>
      <c r="H6" s="18"/>
      <c r="I6" s="18"/>
      <c r="J6" s="18"/>
      <c r="K6" s="18"/>
      <c r="L6" s="22">
        <v>31.976451758686089</v>
      </c>
      <c r="M6" s="22">
        <v>5</v>
      </c>
      <c r="N6" s="22">
        <v>31.975841661007109</v>
      </c>
      <c r="O6" s="17">
        <v>506399.99121262098</v>
      </c>
      <c r="P6" s="22">
        <v>1.2733934592312821</v>
      </c>
      <c r="Q6" s="17">
        <v>644846.43656493013</v>
      </c>
      <c r="R6" s="17">
        <v>2860329.6543792179</v>
      </c>
      <c r="S6" s="18"/>
      <c r="T6" s="22">
        <v>22.977819697516779</v>
      </c>
      <c r="U6" s="22">
        <v>5.8966011415600086</v>
      </c>
      <c r="V6" s="22">
        <v>92.193429381912267</v>
      </c>
      <c r="W6" s="22">
        <v>117.1361929118264</v>
      </c>
      <c r="X6" s="18"/>
    </row>
    <row r="7" spans="1:24" x14ac:dyDescent="0.25">
      <c r="A7" s="13">
        <v>40724</v>
      </c>
      <c r="B7" s="2">
        <v>2685256</v>
      </c>
      <c r="C7" s="2">
        <v>2385383.0871762112</v>
      </c>
      <c r="D7" s="7">
        <f t="shared" si="0"/>
        <v>1.1257126850759955</v>
      </c>
      <c r="E7" s="7"/>
      <c r="F7" s="18"/>
      <c r="G7" s="18"/>
      <c r="H7" s="18"/>
      <c r="I7" s="18"/>
      <c r="J7" s="18"/>
      <c r="K7" s="18"/>
      <c r="L7" s="22">
        <v>25.68181148027826</v>
      </c>
      <c r="M7" s="22">
        <v>6.92</v>
      </c>
      <c r="N7" s="22">
        <v>29.13934365094164</v>
      </c>
      <c r="O7" s="17">
        <v>660703.49554851605</v>
      </c>
      <c r="P7" s="22">
        <v>1.2733934592312821</v>
      </c>
      <c r="Q7" s="17">
        <v>841335.50972272467</v>
      </c>
      <c r="R7" s="17">
        <v>3033058.8400451881</v>
      </c>
      <c r="S7" s="18"/>
      <c r="T7" s="22">
        <v>25.834213565007609</v>
      </c>
      <c r="U7" s="22">
        <v>5.9335503053891347</v>
      </c>
      <c r="V7" s="22">
        <v>88.532934625165211</v>
      </c>
      <c r="W7" s="22">
        <v>112.5712685075996</v>
      </c>
      <c r="X7" s="18"/>
    </row>
    <row r="8" spans="1:24" x14ac:dyDescent="0.25">
      <c r="A8" s="13">
        <v>40816</v>
      </c>
      <c r="B8" s="2">
        <v>2716398</v>
      </c>
      <c r="C8" s="2">
        <v>2547506.6401209151</v>
      </c>
      <c r="D8" s="7">
        <f t="shared" si="0"/>
        <v>1.0662967299944186</v>
      </c>
      <c r="E8" s="7"/>
      <c r="F8" s="18"/>
      <c r="G8" s="18"/>
      <c r="H8" s="18"/>
      <c r="I8" s="18"/>
      <c r="J8" s="18"/>
      <c r="K8" s="18"/>
      <c r="L8" s="22">
        <v>17.56402860074726</v>
      </c>
      <c r="M8" s="22">
        <v>8.16</v>
      </c>
      <c r="N8" s="22">
        <v>17.561271918785138</v>
      </c>
      <c r="O8" s="17">
        <v>706914.02907162602</v>
      </c>
      <c r="P8" s="22">
        <v>1.2733934592312821</v>
      </c>
      <c r="Q8" s="17">
        <v>900179.70085864083</v>
      </c>
      <c r="R8" s="17">
        <v>3241505.8720051781</v>
      </c>
      <c r="S8" s="18"/>
      <c r="T8" s="22">
        <v>30.13404474475259</v>
      </c>
      <c r="U8" s="22">
        <v>6.2118699198929983</v>
      </c>
      <c r="V8" s="22">
        <v>83.800496042897834</v>
      </c>
      <c r="W8" s="22">
        <v>106.62967299944189</v>
      </c>
      <c r="X8" s="18"/>
    </row>
    <row r="9" spans="1:24" x14ac:dyDescent="0.25">
      <c r="A9" s="13">
        <v>40908</v>
      </c>
      <c r="B9" s="2">
        <v>2785213</v>
      </c>
      <c r="C9" s="2">
        <v>2779880.2360245702</v>
      </c>
      <c r="D9" s="7">
        <f t="shared" si="0"/>
        <v>1.0019183430661229</v>
      </c>
      <c r="E9" s="7"/>
      <c r="F9" s="18"/>
      <c r="G9" s="18"/>
      <c r="H9" s="18"/>
      <c r="I9" s="18"/>
      <c r="J9" s="18"/>
      <c r="K9" s="18"/>
      <c r="L9" s="22">
        <v>10.90002122268972</v>
      </c>
      <c r="M9" s="22">
        <v>10.9</v>
      </c>
      <c r="N9" s="22">
        <v>10.9</v>
      </c>
      <c r="O9" s="17">
        <v>905862.72019180702</v>
      </c>
      <c r="P9" s="22">
        <v>1.2733934592312821</v>
      </c>
      <c r="Q9" s="17">
        <v>1153519.6628537041</v>
      </c>
      <c r="R9" s="17">
        <v>3539881.31</v>
      </c>
      <c r="S9" s="17">
        <v>3539881.31</v>
      </c>
      <c r="T9" s="22">
        <v>34.891826351754851</v>
      </c>
      <c r="U9" s="22">
        <v>6.7138689230831439</v>
      </c>
      <c r="V9" s="22">
        <v>78.680971368500494</v>
      </c>
      <c r="W9" s="22">
        <v>100.19183430661229</v>
      </c>
      <c r="X9" s="22">
        <v>12</v>
      </c>
    </row>
    <row r="10" spans="1:24" x14ac:dyDescent="0.25">
      <c r="A10" s="13">
        <v>40999</v>
      </c>
      <c r="B10" s="2">
        <v>2813333</v>
      </c>
      <c r="C10" s="2">
        <v>2899979.305480578</v>
      </c>
      <c r="D10" s="7">
        <f t="shared" si="0"/>
        <v>0.97012175041496751</v>
      </c>
      <c r="E10" s="7"/>
      <c r="F10" s="18"/>
      <c r="G10" s="18"/>
      <c r="H10" s="18"/>
      <c r="I10" s="18"/>
      <c r="J10" s="18"/>
      <c r="K10" s="18"/>
      <c r="L10" s="22">
        <v>6.6854225729189984</v>
      </c>
      <c r="M10" s="22">
        <v>1.01</v>
      </c>
      <c r="N10" s="22">
        <v>6.6857999999999862</v>
      </c>
      <c r="O10" s="17">
        <v>626499.06066862901</v>
      </c>
      <c r="P10" s="22">
        <v>1.255234533647078</v>
      </c>
      <c r="Q10" s="17">
        <v>786403.25624871929</v>
      </c>
      <c r="R10" s="17">
        <v>3681438.1296837889</v>
      </c>
      <c r="S10" s="18"/>
      <c r="T10" s="22">
        <v>21.952020148836731</v>
      </c>
      <c r="U10" s="22">
        <v>4.7450356799931814</v>
      </c>
      <c r="V10" s="22">
        <v>76.419401899378016</v>
      </c>
      <c r="W10" s="22">
        <v>97.012175041496747</v>
      </c>
      <c r="X10" s="18"/>
    </row>
    <row r="11" spans="1:24" x14ac:dyDescent="0.25">
      <c r="A11" s="13">
        <v>41090</v>
      </c>
      <c r="B11" s="2">
        <v>2887697</v>
      </c>
      <c r="C11" s="2">
        <v>3000772.4953939579</v>
      </c>
      <c r="D11" s="7">
        <f t="shared" si="0"/>
        <v>0.96231787129230106</v>
      </c>
      <c r="E11" s="7"/>
      <c r="F11" s="18"/>
      <c r="G11" s="18"/>
      <c r="H11" s="18"/>
      <c r="I11" s="18"/>
      <c r="J11" s="18"/>
      <c r="K11" s="18"/>
      <c r="L11" s="22">
        <v>7.5389832477797292</v>
      </c>
      <c r="M11" s="22">
        <v>3.68</v>
      </c>
      <c r="N11" s="22">
        <v>6.3362139917695348</v>
      </c>
      <c r="O11" s="17">
        <v>761496.68546189601</v>
      </c>
      <c r="P11" s="22">
        <v>1.255234533647078</v>
      </c>
      <c r="Q11" s="17">
        <v>955856.93684955908</v>
      </c>
      <c r="R11" s="17">
        <v>3795959.556810623</v>
      </c>
      <c r="S11" s="18"/>
      <c r="T11" s="22">
        <v>13.611861831979111</v>
      </c>
      <c r="U11" s="22">
        <v>5.0789034784632481</v>
      </c>
      <c r="V11" s="22">
        <v>76.072912705799538</v>
      </c>
      <c r="W11" s="22">
        <v>96.231787129230099</v>
      </c>
      <c r="X11" s="18"/>
    </row>
    <row r="12" spans="1:24" x14ac:dyDescent="0.25">
      <c r="A12" s="13">
        <v>41182</v>
      </c>
      <c r="B12" s="2">
        <v>2915695</v>
      </c>
      <c r="C12" s="2">
        <v>3094479.3966024132</v>
      </c>
      <c r="D12" s="7">
        <f t="shared" si="0"/>
        <v>0.94222472549059155</v>
      </c>
      <c r="E12" s="7"/>
      <c r="F12" s="18"/>
      <c r="G12" s="18"/>
      <c r="H12" s="18"/>
      <c r="I12" s="18"/>
      <c r="J12" s="18"/>
      <c r="K12" s="18"/>
      <c r="L12" s="22">
        <v>7.3368114687170296</v>
      </c>
      <c r="M12" s="22">
        <v>4.68</v>
      </c>
      <c r="N12" s="22">
        <v>7.3318417159763394</v>
      </c>
      <c r="O12" s="17">
        <v>800620.930280081</v>
      </c>
      <c r="P12" s="22">
        <v>1.255234533647078</v>
      </c>
      <c r="Q12" s="17">
        <v>1004967.040048208</v>
      </c>
      <c r="R12" s="17">
        <v>3900746.8960001902</v>
      </c>
      <c r="S12" s="18"/>
      <c r="T12" s="22">
        <v>11.640713414178849</v>
      </c>
      <c r="U12" s="22">
        <v>5.3890186566053933</v>
      </c>
      <c r="V12" s="22">
        <v>74.747095306023112</v>
      </c>
      <c r="W12" s="22">
        <v>94.222472549059162</v>
      </c>
      <c r="X12" s="18"/>
    </row>
    <row r="13" spans="1:24" x14ac:dyDescent="0.25">
      <c r="A13" s="13">
        <v>41274</v>
      </c>
      <c r="B13" s="2">
        <v>3090904</v>
      </c>
      <c r="C13" s="2">
        <v>3245419.2270855559</v>
      </c>
      <c r="D13" s="7">
        <f t="shared" si="0"/>
        <v>0.95238974804980336</v>
      </c>
      <c r="E13" s="7"/>
      <c r="F13" s="18"/>
      <c r="G13" s="18"/>
      <c r="H13" s="18"/>
      <c r="I13" s="18"/>
      <c r="J13" s="18"/>
      <c r="K13" s="18"/>
      <c r="L13" s="22">
        <v>10.975498103735699</v>
      </c>
      <c r="M13" s="22">
        <v>10.98</v>
      </c>
      <c r="N13" s="22">
        <v>10.97999999999999</v>
      </c>
      <c r="O13" s="17">
        <v>1056802.55067495</v>
      </c>
      <c r="P13" s="22">
        <v>1.255234533647078</v>
      </c>
      <c r="Q13" s="17">
        <v>1326535.0568535139</v>
      </c>
      <c r="R13" s="17">
        <v>4073762.29</v>
      </c>
      <c r="S13" s="17">
        <v>4073762.29</v>
      </c>
      <c r="T13" s="22">
        <v>14.998911554900211</v>
      </c>
      <c r="U13" s="22">
        <v>5.5697377394879011</v>
      </c>
      <c r="V13" s="22">
        <v>75.873450141834368</v>
      </c>
      <c r="W13" s="22">
        <v>95.23897480498033</v>
      </c>
      <c r="X13" s="18"/>
    </row>
    <row r="14" spans="1:24" x14ac:dyDescent="0.25">
      <c r="A14" s="13">
        <v>41364</v>
      </c>
      <c r="B14" s="2">
        <v>3127145</v>
      </c>
      <c r="C14" s="2">
        <v>3301941.8894925192</v>
      </c>
      <c r="D14" s="7">
        <f t="shared" si="0"/>
        <v>0.94706239681299054</v>
      </c>
      <c r="E14" s="7"/>
      <c r="F14" s="18"/>
      <c r="G14" s="18"/>
      <c r="H14" s="18"/>
      <c r="I14" s="18"/>
      <c r="J14" s="18"/>
      <c r="K14" s="18"/>
      <c r="L14" s="22">
        <v>11.15445629792136</v>
      </c>
      <c r="M14" s="22">
        <v>1.17</v>
      </c>
      <c r="N14" s="22">
        <v>11.1557924957925</v>
      </c>
      <c r="O14" s="17">
        <v>683021.72307559196</v>
      </c>
      <c r="P14" s="22">
        <v>1.2481386988692349</v>
      </c>
      <c r="Q14" s="17">
        <v>852505.8447389924</v>
      </c>
      <c r="R14" s="17">
        <v>4139864.8784902729</v>
      </c>
      <c r="S14" s="18"/>
      <c r="T14" s="22">
        <v>8.4056860096935573</v>
      </c>
      <c r="U14" s="22">
        <v>4.760022022764443</v>
      </c>
      <c r="V14" s="22">
        <v>75.537368773746252</v>
      </c>
      <c r="W14" s="22">
        <v>94.706239681299053</v>
      </c>
      <c r="X14" s="18"/>
    </row>
    <row r="15" spans="1:24" x14ac:dyDescent="0.25">
      <c r="A15" s="13">
        <v>41455</v>
      </c>
      <c r="B15" s="2">
        <v>3236786</v>
      </c>
      <c r="C15" s="2">
        <v>3371526.7130114669</v>
      </c>
      <c r="D15" s="7">
        <f t="shared" si="0"/>
        <v>0.96003569762877072</v>
      </c>
      <c r="E15" s="7"/>
      <c r="F15" s="18"/>
      <c r="G15" s="18"/>
      <c r="H15" s="18"/>
      <c r="I15" s="18"/>
      <c r="J15" s="18"/>
      <c r="K15" s="18"/>
      <c r="L15" s="22">
        <v>12.088837575410439</v>
      </c>
      <c r="M15" s="22">
        <v>4.72</v>
      </c>
      <c r="N15" s="22">
        <v>12.09322530864196</v>
      </c>
      <c r="O15" s="17">
        <v>831081.50898084405</v>
      </c>
      <c r="P15" s="22">
        <v>1.2481386988692349</v>
      </c>
      <c r="Q15" s="17">
        <v>1037304.993273631</v>
      </c>
      <c r="R15" s="17">
        <v>4221312.9349143449</v>
      </c>
      <c r="S15" s="18"/>
      <c r="T15" s="22">
        <v>8.5209463136313612</v>
      </c>
      <c r="U15" s="22">
        <v>5.0030425040215931</v>
      </c>
      <c r="V15" s="22">
        <v>76.677234071623687</v>
      </c>
      <c r="W15" s="22">
        <v>96.003569762877078</v>
      </c>
      <c r="X15" s="18"/>
    </row>
    <row r="16" spans="1:24" x14ac:dyDescent="0.25">
      <c r="A16" s="13">
        <v>41547</v>
      </c>
      <c r="B16" s="2">
        <v>3303252</v>
      </c>
      <c r="C16" s="2">
        <v>3477682.7326188809</v>
      </c>
      <c r="D16" s="7">
        <f t="shared" si="0"/>
        <v>0.94984282752914462</v>
      </c>
      <c r="E16" s="7"/>
      <c r="F16" s="18"/>
      <c r="G16" s="18"/>
      <c r="H16" s="18"/>
      <c r="I16" s="18"/>
      <c r="J16" s="18"/>
      <c r="K16" s="18"/>
      <c r="L16" s="22">
        <v>13.292096738513459</v>
      </c>
      <c r="M16" s="22">
        <v>6.87</v>
      </c>
      <c r="N16" s="22">
        <v>13.301801681314471</v>
      </c>
      <c r="O16" s="17">
        <v>906776.94988749502</v>
      </c>
      <c r="P16" s="22">
        <v>1.2481386988692349</v>
      </c>
      <c r="Q16" s="17">
        <v>1131783.4023971921</v>
      </c>
      <c r="R16" s="17">
        <v>4348129.2972633298</v>
      </c>
      <c r="S16" s="18"/>
      <c r="T16" s="22">
        <v>12.61895736828351</v>
      </c>
      <c r="U16" s="22">
        <v>5.5448396868940764</v>
      </c>
      <c r="V16" s="22">
        <v>75.969498010996006</v>
      </c>
      <c r="W16" s="22">
        <v>94.984282752914467</v>
      </c>
      <c r="X16" s="18"/>
    </row>
    <row r="17" spans="1:24" x14ac:dyDescent="0.25">
      <c r="A17" s="13">
        <v>41639</v>
      </c>
      <c r="B17" s="2">
        <v>3477985</v>
      </c>
      <c r="C17" s="2">
        <v>3584261.592123501</v>
      </c>
      <c r="D17" s="7">
        <f t="shared" si="0"/>
        <v>0.97034909718725715</v>
      </c>
      <c r="E17" s="7"/>
      <c r="F17" s="17">
        <v>366131</v>
      </c>
      <c r="G17" s="17">
        <v>969074</v>
      </c>
      <c r="H17" s="17">
        <v>344203</v>
      </c>
      <c r="I17" s="17">
        <v>672060</v>
      </c>
      <c r="J17" s="17">
        <v>126795</v>
      </c>
      <c r="K17" s="17">
        <v>999774</v>
      </c>
      <c r="L17" s="22">
        <v>12.523229450024971</v>
      </c>
      <c r="M17" s="22">
        <v>12.52</v>
      </c>
      <c r="N17" s="22">
        <v>12.52</v>
      </c>
      <c r="O17" s="17">
        <v>1163381.4101795701</v>
      </c>
      <c r="P17" s="22">
        <v>1.2481386988692349</v>
      </c>
      <c r="Q17" s="17">
        <v>1452061.3595901851</v>
      </c>
      <c r="R17" s="17">
        <v>4473655.5999999996</v>
      </c>
      <c r="S17" s="17">
        <v>4473655.5999999996</v>
      </c>
      <c r="T17" s="22">
        <v>9.4627203471285384</v>
      </c>
      <c r="U17" s="22">
        <v>6.0461883669307381</v>
      </c>
      <c r="V17" s="22">
        <v>77.7436913114188</v>
      </c>
      <c r="W17" s="22">
        <v>97.034909718725714</v>
      </c>
      <c r="X17" s="22">
        <v>8.83</v>
      </c>
    </row>
    <row r="18" spans="1:24" x14ac:dyDescent="0.25">
      <c r="A18" s="13">
        <v>41729</v>
      </c>
      <c r="B18" s="2">
        <v>3496178</v>
      </c>
      <c r="C18" s="2">
        <v>3658809.5161837842</v>
      </c>
      <c r="D18" s="7">
        <f t="shared" si="0"/>
        <v>0.95555070154255739</v>
      </c>
      <c r="E18" s="7"/>
      <c r="F18" s="18"/>
      <c r="G18" s="18"/>
      <c r="H18" s="18"/>
      <c r="I18" s="18"/>
      <c r="J18" s="18"/>
      <c r="K18" s="18"/>
      <c r="L18" s="22">
        <v>11.800955823922459</v>
      </c>
      <c r="M18" s="22">
        <v>0.52</v>
      </c>
      <c r="N18" s="22">
        <v>11.79707818523277</v>
      </c>
      <c r="O18" s="17">
        <v>757569.64713587495</v>
      </c>
      <c r="P18" s="22">
        <v>1.2537359354310471</v>
      </c>
      <c r="Q18" s="17">
        <v>949792.29020606435</v>
      </c>
      <c r="R18" s="17">
        <v>4570942.0454670722</v>
      </c>
      <c r="S18" s="18"/>
      <c r="T18" s="22">
        <v>11.411821522098499</v>
      </c>
      <c r="U18" s="22">
        <v>5.0642122708130177</v>
      </c>
      <c r="V18" s="22">
        <v>76.487034077955599</v>
      </c>
      <c r="W18" s="22">
        <v>95.555070154255745</v>
      </c>
      <c r="X18" s="18"/>
    </row>
    <row r="19" spans="1:24" x14ac:dyDescent="0.25">
      <c r="A19" s="13">
        <v>41820</v>
      </c>
      <c r="B19" s="2">
        <v>3607354</v>
      </c>
      <c r="C19" s="2">
        <v>3739605.4616392641</v>
      </c>
      <c r="D19" s="7">
        <f t="shared" si="0"/>
        <v>0.96463491590332329</v>
      </c>
      <c r="E19" s="7"/>
      <c r="F19" s="18"/>
      <c r="G19" s="18"/>
      <c r="H19" s="18"/>
      <c r="I19" s="18"/>
      <c r="J19" s="18"/>
      <c r="K19" s="18"/>
      <c r="L19" s="22">
        <v>11.44864071952858</v>
      </c>
      <c r="M19" s="22">
        <v>3.72</v>
      </c>
      <c r="N19" s="22">
        <v>11.445515660809759</v>
      </c>
      <c r="O19" s="17">
        <v>911877.45443632395</v>
      </c>
      <c r="P19" s="22">
        <v>1.2537359354310471</v>
      </c>
      <c r="Q19" s="17">
        <v>1143253.5333362061</v>
      </c>
      <c r="R19" s="17">
        <v>4676890.5855296468</v>
      </c>
      <c r="S19" s="18"/>
      <c r="T19" s="22">
        <v>10.213827249419881</v>
      </c>
      <c r="U19" s="22">
        <v>5.3352583816408172</v>
      </c>
      <c r="V19" s="22">
        <v>77.131460187698096</v>
      </c>
      <c r="W19" s="22">
        <v>96.463491590332339</v>
      </c>
      <c r="X19" s="18"/>
    </row>
    <row r="20" spans="1:24" x14ac:dyDescent="0.25">
      <c r="A20" s="13">
        <v>41912</v>
      </c>
      <c r="B20" s="2">
        <v>3734181</v>
      </c>
      <c r="C20" s="2">
        <v>3834879.0115556591</v>
      </c>
      <c r="D20" s="7">
        <f t="shared" si="0"/>
        <v>0.97374154145353076</v>
      </c>
      <c r="E20" s="7"/>
      <c r="F20" s="18"/>
      <c r="G20" s="18"/>
      <c r="H20" s="18"/>
      <c r="I20" s="18"/>
      <c r="J20" s="18"/>
      <c r="K20" s="18"/>
      <c r="L20" s="22">
        <v>13.04559870091655</v>
      </c>
      <c r="M20" s="22">
        <v>7.37</v>
      </c>
      <c r="N20" s="22">
        <v>13.0464339852157</v>
      </c>
      <c r="O20" s="17">
        <v>1002050.49980389</v>
      </c>
      <c r="P20" s="22">
        <v>1.2537359354310471</v>
      </c>
      <c r="Q20" s="17">
        <v>1256306.720720778</v>
      </c>
      <c r="R20" s="17">
        <v>4801413.9038532339</v>
      </c>
      <c r="S20" s="18"/>
      <c r="T20" s="22">
        <v>11.00239834405046</v>
      </c>
      <c r="U20" s="22">
        <v>6.071534295889025</v>
      </c>
      <c r="V20" s="22">
        <v>77.772528567121498</v>
      </c>
      <c r="W20" s="22">
        <v>97.374154145353089</v>
      </c>
      <c r="X20" s="18"/>
    </row>
    <row r="21" spans="1:24" x14ac:dyDescent="0.25">
      <c r="A21" s="13">
        <v>42004</v>
      </c>
      <c r="B21" s="2">
        <v>3970548</v>
      </c>
      <c r="C21" s="2">
        <v>3937856.083149279</v>
      </c>
      <c r="D21" s="7">
        <f t="shared" si="0"/>
        <v>1.0083019582636894</v>
      </c>
      <c r="E21" s="7"/>
      <c r="F21" s="17">
        <v>391174</v>
      </c>
      <c r="G21" s="17">
        <v>1021792</v>
      </c>
      <c r="H21" s="17">
        <v>380413</v>
      </c>
      <c r="I21" s="17">
        <v>744105</v>
      </c>
      <c r="J21" s="17">
        <v>134758</v>
      </c>
      <c r="K21" s="17">
        <v>1298306</v>
      </c>
      <c r="L21" s="22">
        <v>14.16230949817208</v>
      </c>
      <c r="M21" s="22">
        <v>14.16</v>
      </c>
      <c r="N21" s="22">
        <v>14.159999999999989</v>
      </c>
      <c r="O21" s="17">
        <v>1266358.48177319</v>
      </c>
      <c r="P21" s="22">
        <v>1.2537359354310471</v>
      </c>
      <c r="Q21" s="17">
        <v>1587679.1357369509</v>
      </c>
      <c r="R21" s="17">
        <v>4937031.6799999997</v>
      </c>
      <c r="S21" s="17">
        <v>4937031.6799999997</v>
      </c>
      <c r="T21" s="22">
        <v>9.3396725455900498</v>
      </c>
      <c r="U21" s="22">
        <v>6.9576442123219451</v>
      </c>
      <c r="V21" s="22">
        <v>80.42379019127543</v>
      </c>
      <c r="W21" s="22">
        <v>100.83019582636889</v>
      </c>
      <c r="X21" s="22">
        <v>12.62</v>
      </c>
    </row>
    <row r="22" spans="1:24" x14ac:dyDescent="0.25">
      <c r="A22" s="13">
        <v>42094</v>
      </c>
      <c r="B22" s="2">
        <v>4075612</v>
      </c>
      <c r="C22" s="2">
        <v>3989899.77717569</v>
      </c>
      <c r="D22" s="7">
        <f t="shared" si="0"/>
        <v>1.0214822997095387</v>
      </c>
      <c r="E22" s="7"/>
      <c r="F22" s="17">
        <v>403280</v>
      </c>
      <c r="G22" s="17">
        <v>1045510</v>
      </c>
      <c r="H22" s="17">
        <v>390646</v>
      </c>
      <c r="I22" s="17">
        <v>754047</v>
      </c>
      <c r="J22" s="17">
        <v>141249</v>
      </c>
      <c r="K22" s="17">
        <v>1340881</v>
      </c>
      <c r="L22" s="22">
        <v>16.57335524678663</v>
      </c>
      <c r="M22" s="22">
        <v>2.65</v>
      </c>
      <c r="N22" s="22">
        <v>16.579029048945461</v>
      </c>
      <c r="O22" s="17">
        <v>809613.341162286</v>
      </c>
      <c r="P22" s="22">
        <v>1.2381336059889281</v>
      </c>
      <c r="Q22" s="17">
        <v>1002409.485550005</v>
      </c>
      <c r="R22" s="17">
        <v>4989648.8753439412</v>
      </c>
      <c r="S22" s="18"/>
      <c r="T22" s="22">
        <v>5.5398633876597714</v>
      </c>
      <c r="U22" s="22">
        <v>6.1215242917425314</v>
      </c>
      <c r="V22" s="22">
        <v>81.681338743882336</v>
      </c>
      <c r="W22" s="22">
        <v>102.14822997095391</v>
      </c>
      <c r="X22" s="18"/>
    </row>
    <row r="23" spans="1:24" x14ac:dyDescent="0.25">
      <c r="A23" s="13">
        <v>42185</v>
      </c>
      <c r="B23" s="2">
        <v>4282604</v>
      </c>
      <c r="C23" s="2">
        <v>4048409.9329256848</v>
      </c>
      <c r="D23" s="7">
        <f t="shared" si="0"/>
        <v>1.0578484073881986</v>
      </c>
      <c r="E23" s="7"/>
      <c r="F23" s="17">
        <v>425761</v>
      </c>
      <c r="G23" s="17">
        <v>1069133</v>
      </c>
      <c r="H23" s="17">
        <v>417437</v>
      </c>
      <c r="I23" s="17">
        <v>781885</v>
      </c>
      <c r="J23" s="17">
        <v>145758</v>
      </c>
      <c r="K23" s="17">
        <v>1442630</v>
      </c>
      <c r="L23" s="22">
        <v>18.718706287212171</v>
      </c>
      <c r="M23" s="22">
        <v>7.86</v>
      </c>
      <c r="N23" s="22">
        <v>18.716714230620909</v>
      </c>
      <c r="O23" s="17">
        <v>970387.61018631898</v>
      </c>
      <c r="P23" s="22">
        <v>1.2381336059889281</v>
      </c>
      <c r="Q23" s="17">
        <v>1201469.5110069651</v>
      </c>
      <c r="R23" s="17">
        <v>5047864.8530147001</v>
      </c>
      <c r="S23" s="18"/>
      <c r="T23" s="22">
        <v>5.0921318826695261</v>
      </c>
      <c r="U23" s="22">
        <v>6.4708681017327851</v>
      </c>
      <c r="V23" s="22">
        <v>84.839910035276219</v>
      </c>
      <c r="W23" s="22">
        <v>105.7848407388199</v>
      </c>
      <c r="X23" s="18"/>
    </row>
    <row r="24" spans="1:24" x14ac:dyDescent="0.25">
      <c r="A24" s="13">
        <v>42277</v>
      </c>
      <c r="B24" s="2">
        <v>4451893</v>
      </c>
      <c r="C24" s="2">
        <v>4118689.1468191352</v>
      </c>
      <c r="D24" s="7">
        <f t="shared" si="0"/>
        <v>1.0809004616039544</v>
      </c>
      <c r="E24" s="7"/>
      <c r="F24" s="17">
        <v>443692</v>
      </c>
      <c r="G24" s="17">
        <v>1087130</v>
      </c>
      <c r="H24" s="17">
        <v>438101</v>
      </c>
      <c r="I24" s="17">
        <v>790550</v>
      </c>
      <c r="J24" s="17">
        <v>149371</v>
      </c>
      <c r="K24" s="17">
        <v>1543048</v>
      </c>
      <c r="L24" s="22">
        <v>19.22006458712098</v>
      </c>
      <c r="M24" s="22">
        <v>12.12</v>
      </c>
      <c r="N24" s="22">
        <v>19.21038651392379</v>
      </c>
      <c r="O24" s="17">
        <v>1072329.7136973401</v>
      </c>
      <c r="P24" s="22">
        <v>1.2381336059889281</v>
      </c>
      <c r="Q24" s="17">
        <v>1327687.455229162</v>
      </c>
      <c r="R24" s="17">
        <v>5119245.5875230841</v>
      </c>
      <c r="S24" s="18"/>
      <c r="T24" s="22">
        <v>5.6817919804990957</v>
      </c>
      <c r="U24" s="22">
        <v>6.8744697318987802</v>
      </c>
      <c r="V24" s="22">
        <v>86.963848947790396</v>
      </c>
      <c r="W24" s="22">
        <v>108.0900461603954</v>
      </c>
      <c r="X24" s="18"/>
    </row>
    <row r="25" spans="1:24" x14ac:dyDescent="0.25">
      <c r="A25" s="13">
        <v>42369</v>
      </c>
      <c r="B25" s="2">
        <v>4655890</v>
      </c>
      <c r="C25" s="2">
        <v>4192862.3089537751</v>
      </c>
      <c r="D25" s="7">
        <f t="shared" si="0"/>
        <v>1.1104323626505546</v>
      </c>
      <c r="E25" s="7"/>
      <c r="F25" s="17">
        <v>465462</v>
      </c>
      <c r="G25" s="17">
        <v>1084472</v>
      </c>
      <c r="H25" s="17">
        <v>452533</v>
      </c>
      <c r="I25" s="17">
        <v>826852</v>
      </c>
      <c r="J25" s="17">
        <v>152831</v>
      </c>
      <c r="K25" s="17">
        <v>1673626</v>
      </c>
      <c r="L25" s="22">
        <v>17.260640093004788</v>
      </c>
      <c r="M25" s="22">
        <v>17.260000000000002</v>
      </c>
      <c r="N25" s="22">
        <v>17.260000000000009</v>
      </c>
      <c r="O25" s="17">
        <v>1340531.6439078299</v>
      </c>
      <c r="P25" s="22">
        <v>1.2381336059889281</v>
      </c>
      <c r="Q25" s="17">
        <v>1659757.278213867</v>
      </c>
      <c r="R25" s="17">
        <v>5191323.7300000004</v>
      </c>
      <c r="S25" s="17">
        <v>5191323.7300000004</v>
      </c>
      <c r="T25" s="22">
        <v>4.5398431493187008</v>
      </c>
      <c r="U25" s="22">
        <v>7.0082917425764668</v>
      </c>
      <c r="V25" s="22">
        <v>89.685988432857755</v>
      </c>
      <c r="W25" s="22">
        <v>111.0432362650555</v>
      </c>
      <c r="X25" s="22">
        <v>17.02</v>
      </c>
    </row>
    <row r="26" spans="1:24" x14ac:dyDescent="0.25">
      <c r="A26" s="13">
        <v>42460</v>
      </c>
      <c r="B26" s="2">
        <v>4797202</v>
      </c>
      <c r="C26" s="2">
        <v>4233710.303625769</v>
      </c>
      <c r="D26" s="7">
        <f t="shared" si="0"/>
        <v>1.133096422750431</v>
      </c>
      <c r="E26" s="7"/>
      <c r="F26" s="18"/>
      <c r="G26" s="18"/>
      <c r="H26" s="18"/>
      <c r="I26" s="18"/>
      <c r="J26" s="18"/>
      <c r="K26" s="18"/>
      <c r="L26" s="22">
        <v>17.705071042091362</v>
      </c>
      <c r="M26" s="22">
        <v>3.04</v>
      </c>
      <c r="N26" s="22">
        <v>17.705508037019001</v>
      </c>
      <c r="O26" s="17">
        <v>850461.33583428001</v>
      </c>
      <c r="P26" s="22">
        <v>1.252439576850163</v>
      </c>
      <c r="Q26" s="17">
        <v>1065151.4355797099</v>
      </c>
      <c r="R26" s="17">
        <v>5254065.6800297052</v>
      </c>
      <c r="S26" s="18"/>
      <c r="T26" s="22">
        <v>6.2591137588127621</v>
      </c>
      <c r="U26" s="22">
        <v>5.48117509451298</v>
      </c>
      <c r="V26" s="22">
        <v>91.304568540773886</v>
      </c>
      <c r="W26" s="22">
        <v>113.3096422750431</v>
      </c>
      <c r="X26" s="18"/>
    </row>
    <row r="27" spans="1:24" x14ac:dyDescent="0.25">
      <c r="A27" s="13">
        <v>42551</v>
      </c>
      <c r="B27" s="2">
        <v>5037936</v>
      </c>
      <c r="C27" s="2">
        <v>4294811.8509231899</v>
      </c>
      <c r="D27" s="7">
        <f t="shared" si="0"/>
        <v>1.1730283362511147</v>
      </c>
      <c r="E27" s="7"/>
      <c r="F27" s="18"/>
      <c r="G27" s="18"/>
      <c r="H27" s="18"/>
      <c r="I27" s="18"/>
      <c r="J27" s="18"/>
      <c r="K27" s="18"/>
      <c r="L27" s="22">
        <v>17.637213246893712</v>
      </c>
      <c r="M27" s="22">
        <v>8.2100000000000009</v>
      </c>
      <c r="N27" s="22">
        <v>17.640502503244981</v>
      </c>
      <c r="O27" s="17">
        <v>1031489.15748374</v>
      </c>
      <c r="P27" s="22">
        <v>1.252439576850163</v>
      </c>
      <c r="Q27" s="17">
        <v>1291877.843924467</v>
      </c>
      <c r="R27" s="17">
        <v>5344474.0129472064</v>
      </c>
      <c r="S27" s="18"/>
      <c r="T27" s="22">
        <v>7.5248129136235242</v>
      </c>
      <c r="U27" s="22">
        <v>5.7762064186290152</v>
      </c>
      <c r="V27" s="22">
        <v>94.264393236741256</v>
      </c>
      <c r="W27" s="22">
        <v>117.3028336251115</v>
      </c>
      <c r="X27" s="18"/>
    </row>
    <row r="28" spans="1:24" x14ac:dyDescent="0.25">
      <c r="A28" s="13">
        <v>42643</v>
      </c>
      <c r="B28" s="2">
        <v>5198026</v>
      </c>
      <c r="C28" s="2">
        <v>4380578.19141257</v>
      </c>
      <c r="D28" s="7">
        <f t="shared" si="0"/>
        <v>1.1866072862687185</v>
      </c>
      <c r="E28" s="7"/>
      <c r="F28" s="18"/>
      <c r="G28" s="18"/>
      <c r="H28" s="18"/>
      <c r="I28" s="18"/>
      <c r="J28" s="18"/>
      <c r="K28" s="18"/>
      <c r="L28" s="22">
        <v>16.759904157624629</v>
      </c>
      <c r="M28" s="22">
        <v>11.64</v>
      </c>
      <c r="N28" s="22">
        <v>16.757995005351422</v>
      </c>
      <c r="O28" s="17">
        <v>1158096.0541867199</v>
      </c>
      <c r="P28" s="22">
        <v>1.252439576850163</v>
      </c>
      <c r="Q28" s="17">
        <v>1450445.332057459</v>
      </c>
      <c r="R28" s="17">
        <v>5467231.8897755034</v>
      </c>
      <c r="S28" s="18"/>
      <c r="T28" s="22">
        <v>9.24599207025787</v>
      </c>
      <c r="U28" s="22">
        <v>6.5611034883742869</v>
      </c>
      <c r="V28" s="22">
        <v>95.076011129526876</v>
      </c>
      <c r="W28" s="22">
        <v>118.6607286268718</v>
      </c>
      <c r="X28" s="18"/>
    </row>
    <row r="29" spans="1:24" x14ac:dyDescent="0.25">
      <c r="A29" s="13">
        <v>42735</v>
      </c>
      <c r="B29" s="2">
        <v>5505406</v>
      </c>
      <c r="C29" s="2">
        <v>4502732.9894691398</v>
      </c>
      <c r="D29" s="7">
        <f t="shared" si="0"/>
        <v>1.2226809834995507</v>
      </c>
      <c r="E29" s="7"/>
      <c r="F29" s="17">
        <v>558834</v>
      </c>
      <c r="G29" s="17">
        <v>1202354</v>
      </c>
      <c r="H29" s="17">
        <v>507923</v>
      </c>
      <c r="I29" s="17">
        <v>1002972</v>
      </c>
      <c r="J29" s="17">
        <v>191834</v>
      </c>
      <c r="K29" s="17">
        <v>2041489</v>
      </c>
      <c r="L29" s="22">
        <v>18.246049627461129</v>
      </c>
      <c r="M29" s="22">
        <v>18.25</v>
      </c>
      <c r="N29" s="22">
        <v>18.250000000000011</v>
      </c>
      <c r="O29" s="17">
        <v>1462686.4419644</v>
      </c>
      <c r="P29" s="22">
        <v>1.252439576850163</v>
      </c>
      <c r="Q29" s="17">
        <v>1831926.388438364</v>
      </c>
      <c r="R29" s="17">
        <v>5639401</v>
      </c>
      <c r="S29" s="17">
        <v>5639401</v>
      </c>
      <c r="T29" s="22">
        <v>10.3731498866976</v>
      </c>
      <c r="U29" s="22">
        <v>6.6829522902470906</v>
      </c>
      <c r="V29" s="22">
        <v>97.623949777644825</v>
      </c>
      <c r="W29" s="22">
        <v>122.2680983499551</v>
      </c>
      <c r="X29" s="22">
        <v>16.46</v>
      </c>
    </row>
    <row r="30" spans="1:24" x14ac:dyDescent="0.25">
      <c r="A30" s="13">
        <v>42825</v>
      </c>
      <c r="B30" s="2">
        <v>5746188</v>
      </c>
      <c r="C30" s="2">
        <v>4584102.2789615951</v>
      </c>
      <c r="D30" s="7">
        <f t="shared" si="0"/>
        <v>1.2535034452376232</v>
      </c>
      <c r="E30" s="7"/>
      <c r="F30" s="18"/>
      <c r="G30" s="18"/>
      <c r="H30" s="18"/>
      <c r="I30" s="18"/>
      <c r="J30" s="18"/>
      <c r="K30" s="18"/>
      <c r="L30" s="22">
        <v>19.782072966700181</v>
      </c>
      <c r="M30" s="22">
        <v>4.37</v>
      </c>
      <c r="N30" s="22">
        <v>19.776324728260899</v>
      </c>
      <c r="O30" s="17">
        <v>931830.62532673497</v>
      </c>
      <c r="P30" s="22">
        <v>1.2572783398173659</v>
      </c>
      <c r="Q30" s="17">
        <v>1171570.4616017749</v>
      </c>
      <c r="R30" s="17">
        <v>5745820.0260220654</v>
      </c>
      <c r="S30" s="18"/>
      <c r="T30" s="22">
        <v>9.9909761623845128</v>
      </c>
      <c r="U30" s="22">
        <v>5.2</v>
      </c>
      <c r="V30" s="22">
        <v>100.0064042029905</v>
      </c>
      <c r="W30" s="22">
        <v>125.3503445237623</v>
      </c>
      <c r="X30" s="18"/>
    </row>
    <row r="31" spans="1:24" x14ac:dyDescent="0.25">
      <c r="A31" s="13">
        <v>42916</v>
      </c>
      <c r="B31" s="2">
        <v>6001383</v>
      </c>
      <c r="C31" s="2">
        <v>4681700.8597293552</v>
      </c>
      <c r="D31" s="7">
        <f t="shared" si="0"/>
        <v>1.28188091888189</v>
      </c>
      <c r="E31" s="7"/>
      <c r="F31" s="18"/>
      <c r="G31" s="18"/>
      <c r="H31" s="18"/>
      <c r="I31" s="18"/>
      <c r="J31" s="18"/>
      <c r="K31" s="18"/>
      <c r="L31" s="22">
        <v>19.123843574035071</v>
      </c>
      <c r="M31" s="22">
        <v>9.01</v>
      </c>
      <c r="N31" s="22">
        <v>19.12422604195547</v>
      </c>
      <c r="O31" s="17">
        <v>1129087.7382515001</v>
      </c>
      <c r="P31" s="22">
        <v>1.2572783398173659</v>
      </c>
      <c r="Q31" s="17">
        <v>1419577.5570569909</v>
      </c>
      <c r="R31" s="17">
        <v>5873519.7391545894</v>
      </c>
      <c r="S31" s="18"/>
      <c r="T31" s="22">
        <v>9.8848133152123587</v>
      </c>
      <c r="U31" s="22">
        <v>6.4</v>
      </c>
      <c r="V31" s="22">
        <v>102.1769444306629</v>
      </c>
      <c r="W31" s="22">
        <v>128.18809188818901</v>
      </c>
      <c r="X31" s="18"/>
    </row>
    <row r="32" spans="1:24" x14ac:dyDescent="0.25">
      <c r="A32" s="13">
        <v>43008</v>
      </c>
      <c r="B32" s="2">
        <v>6177691</v>
      </c>
      <c r="C32" s="2">
        <v>4793816.9290197352</v>
      </c>
      <c r="D32" s="7">
        <f t="shared" si="0"/>
        <v>1.2886789569711929</v>
      </c>
      <c r="E32" s="7"/>
      <c r="F32" s="18"/>
      <c r="G32" s="18"/>
      <c r="H32" s="18"/>
      <c r="I32" s="18"/>
      <c r="J32" s="18"/>
      <c r="K32" s="18"/>
      <c r="L32" s="22">
        <v>18.846866098784432</v>
      </c>
      <c r="M32" s="22">
        <v>12.21</v>
      </c>
      <c r="N32" s="22">
        <v>18.85374865639557</v>
      </c>
      <c r="O32" s="17">
        <v>1270212.1234770999</v>
      </c>
      <c r="P32" s="22">
        <v>1.2572783398173659</v>
      </c>
      <c r="Q32" s="17">
        <v>1597010.189821179</v>
      </c>
      <c r="R32" s="17">
        <v>6020084.59691831</v>
      </c>
      <c r="S32" s="18"/>
      <c r="T32" s="22">
        <v>10.104817777297241</v>
      </c>
      <c r="U32" s="22">
        <v>7.4</v>
      </c>
      <c r="V32" s="22">
        <v>102.6180097728588</v>
      </c>
      <c r="W32" s="22">
        <v>128.86789569711931</v>
      </c>
      <c r="X32" s="18"/>
    </row>
    <row r="33" spans="1:24" x14ac:dyDescent="0.25">
      <c r="A33" s="13">
        <v>43100</v>
      </c>
      <c r="B33" s="2">
        <v>6329715</v>
      </c>
      <c r="C33" s="2">
        <v>5005975.4874280747</v>
      </c>
      <c r="D33" s="7">
        <f t="shared" si="0"/>
        <v>1.2644318806387174</v>
      </c>
      <c r="E33" s="7"/>
      <c r="F33" s="18"/>
      <c r="G33" s="18"/>
      <c r="H33" s="18"/>
      <c r="I33" s="18"/>
      <c r="J33" s="18"/>
      <c r="K33" s="18"/>
      <c r="L33" s="22">
        <v>14.9727195414834</v>
      </c>
      <c r="M33" s="22">
        <v>14.97</v>
      </c>
      <c r="N33" s="22">
        <v>14.97</v>
      </c>
      <c r="O33" s="17">
        <v>1674845.00037274</v>
      </c>
      <c r="P33" s="22">
        <v>1.2572783398173659</v>
      </c>
      <c r="Q33" s="17">
        <v>2105746.3415200538</v>
      </c>
      <c r="R33" s="17">
        <v>6293904.5500000007</v>
      </c>
      <c r="S33" s="17">
        <v>6293904.5499999998</v>
      </c>
      <c r="T33" s="22">
        <v>14.94710457853656</v>
      </c>
      <c r="U33" s="22">
        <v>7.7</v>
      </c>
      <c r="V33" s="22">
        <v>100.56897033813451</v>
      </c>
      <c r="W33" s="22">
        <v>126.4431880638717</v>
      </c>
      <c r="X33" s="22">
        <v>16.96</v>
      </c>
    </row>
    <row r="34" spans="1:24" x14ac:dyDescent="0.25">
      <c r="A34" s="13">
        <v>43190</v>
      </c>
      <c r="B34" s="2">
        <v>6555278</v>
      </c>
      <c r="C34" s="2">
        <v>5102762.5292079598</v>
      </c>
      <c r="D34" s="7">
        <f t="shared" si="0"/>
        <v>1.2846527665118479</v>
      </c>
      <c r="E34" s="7"/>
      <c r="F34" s="17">
        <v>656181</v>
      </c>
      <c r="G34" s="17">
        <v>1401951</v>
      </c>
      <c r="H34" s="17">
        <v>647856</v>
      </c>
      <c r="I34" s="17">
        <v>1315254</v>
      </c>
      <c r="J34" s="17">
        <v>220556</v>
      </c>
      <c r="K34" s="17">
        <v>2313480</v>
      </c>
      <c r="L34" s="22">
        <v>14.08046517099684</v>
      </c>
      <c r="M34" s="22">
        <v>3.56</v>
      </c>
      <c r="N34" s="22">
        <v>14.077734981316461</v>
      </c>
      <c r="O34" s="17">
        <v>1028617.66710662</v>
      </c>
      <c r="P34" s="22">
        <v>1.2646377542674541</v>
      </c>
      <c r="Q34" s="17">
        <v>1300828.736529544</v>
      </c>
      <c r="R34" s="17">
        <v>6423162.8249277687</v>
      </c>
      <c r="S34" s="18"/>
      <c r="T34" s="22">
        <v>11.032906612466631</v>
      </c>
      <c r="U34" s="22">
        <v>15.4</v>
      </c>
      <c r="V34" s="22">
        <v>102.05685545693321</v>
      </c>
      <c r="W34" s="22">
        <v>128.46527665118481</v>
      </c>
      <c r="X34" s="18"/>
    </row>
    <row r="35" spans="1:24" x14ac:dyDescent="0.25">
      <c r="A35" s="13">
        <v>43281</v>
      </c>
      <c r="B35" s="2">
        <v>6827140.3300000001</v>
      </c>
      <c r="C35" s="2">
        <v>5216111.9176300699</v>
      </c>
      <c r="D35" s="7">
        <f t="shared" si="0"/>
        <v>1.3088561821161802</v>
      </c>
      <c r="E35" s="7"/>
      <c r="F35" s="17">
        <v>669758</v>
      </c>
      <c r="G35" s="17">
        <v>1460883</v>
      </c>
      <c r="H35" s="17">
        <v>665204</v>
      </c>
      <c r="I35" s="17">
        <v>1392314</v>
      </c>
      <c r="J35" s="17">
        <v>222404</v>
      </c>
      <c r="K35" s="17">
        <v>2416577</v>
      </c>
      <c r="L35" s="22">
        <v>13.759450613300309</v>
      </c>
      <c r="M35" s="22">
        <v>7.86</v>
      </c>
      <c r="N35" s="22">
        <v>13.7571250344005</v>
      </c>
      <c r="O35" s="17">
        <v>1242437.1266736099</v>
      </c>
      <c r="P35" s="22">
        <v>1.2646377542674541</v>
      </c>
      <c r="Q35" s="17">
        <v>1571232.8976950219</v>
      </c>
      <c r="R35" s="17">
        <v>6574818.1655657999</v>
      </c>
      <c r="S35" s="18"/>
      <c r="T35" s="22">
        <v>10.683131744660511</v>
      </c>
      <c r="U35" s="22">
        <v>6.7</v>
      </c>
      <c r="V35" s="22">
        <v>103.8377055924631</v>
      </c>
      <c r="W35" s="22">
        <v>130.88561821161801</v>
      </c>
      <c r="X35" s="18"/>
    </row>
    <row r="36" spans="1:24" x14ac:dyDescent="0.25">
      <c r="A36" s="13">
        <v>43373</v>
      </c>
      <c r="B36" s="2">
        <v>6985654</v>
      </c>
      <c r="C36" s="2">
        <v>5358184.5480633993</v>
      </c>
      <c r="D36" s="7">
        <f t="shared" si="0"/>
        <v>1.3037352366903479</v>
      </c>
      <c r="E36" s="7"/>
      <c r="F36" s="17">
        <v>665806</v>
      </c>
      <c r="G36" s="17">
        <v>1439155</v>
      </c>
      <c r="H36" s="17">
        <v>682968</v>
      </c>
      <c r="I36" s="17">
        <v>1492040</v>
      </c>
      <c r="J36" s="17">
        <v>230347</v>
      </c>
      <c r="K36" s="17">
        <v>2475338</v>
      </c>
      <c r="L36" s="22">
        <v>13.078721483479841</v>
      </c>
      <c r="M36" s="22">
        <v>10.36</v>
      </c>
      <c r="N36" s="22">
        <v>13.07449603422153</v>
      </c>
      <c r="O36" s="17">
        <v>1412284.75391043</v>
      </c>
      <c r="P36" s="22">
        <v>1.2646377542674541</v>
      </c>
      <c r="Q36" s="17">
        <v>1786028.6195714499</v>
      </c>
      <c r="R36" s="17">
        <v>6763836.5953160711</v>
      </c>
      <c r="S36" s="18"/>
      <c r="T36" s="22">
        <v>11.83576854769071</v>
      </c>
      <c r="U36" s="22">
        <v>6.8</v>
      </c>
      <c r="V36" s="22">
        <v>103.2794613169327</v>
      </c>
      <c r="W36" s="22">
        <v>130.3735236690348</v>
      </c>
      <c r="X36" s="18"/>
    </row>
    <row r="37" spans="1:24" x14ac:dyDescent="0.25">
      <c r="A37" s="13">
        <v>43465</v>
      </c>
      <c r="B37" s="2">
        <v>7375669.1100000003</v>
      </c>
      <c r="C37" s="2">
        <v>5542331.87040981</v>
      </c>
      <c r="D37" s="7">
        <f t="shared" si="0"/>
        <v>1.3307880658280808</v>
      </c>
      <c r="E37" s="7"/>
      <c r="F37" s="17">
        <v>666987</v>
      </c>
      <c r="G37" s="17">
        <v>1432715</v>
      </c>
      <c r="H37" s="17">
        <v>700201</v>
      </c>
      <c r="I37" s="17">
        <v>1568443</v>
      </c>
      <c r="J37" s="17">
        <v>215731</v>
      </c>
      <c r="K37" s="17">
        <v>2627099</v>
      </c>
      <c r="L37" s="22">
        <v>16.524505605702618</v>
      </c>
      <c r="M37" s="22">
        <v>13.92</v>
      </c>
      <c r="N37" s="22">
        <v>13.92</v>
      </c>
      <c r="O37" s="17">
        <v>1858992.32271915</v>
      </c>
      <c r="P37" s="22">
        <v>1.2646377542674541</v>
      </c>
      <c r="Q37" s="17">
        <v>2350951.876203984</v>
      </c>
      <c r="R37" s="17">
        <v>7009042.1300000008</v>
      </c>
      <c r="S37" s="17">
        <v>7009042.1299999999</v>
      </c>
      <c r="T37" s="22">
        <v>11.644590321687341</v>
      </c>
      <c r="U37" s="22">
        <v>7.3</v>
      </c>
      <c r="V37" s="22">
        <v>105.2307715262656</v>
      </c>
      <c r="W37" s="22">
        <v>133.07880658280811</v>
      </c>
      <c r="X37" s="22">
        <v>13.3</v>
      </c>
    </row>
    <row r="38" spans="1:24" x14ac:dyDescent="0.25">
      <c r="A38" s="13">
        <v>43555</v>
      </c>
      <c r="B38" s="2">
        <v>7437086</v>
      </c>
      <c r="C38" s="2">
        <v>5631732.8658042001</v>
      </c>
      <c r="D38" s="7">
        <f t="shared" si="0"/>
        <v>1.3205679632210323</v>
      </c>
      <c r="E38" s="7"/>
      <c r="F38" s="17">
        <v>679834</v>
      </c>
      <c r="G38" s="17">
        <v>1482041</v>
      </c>
      <c r="H38" s="17">
        <v>723752</v>
      </c>
      <c r="I38" s="17">
        <v>1626895</v>
      </c>
      <c r="J38" s="17">
        <v>221537</v>
      </c>
      <c r="K38" s="17">
        <v>2703027</v>
      </c>
      <c r="L38" s="22">
        <v>13.451878013411481</v>
      </c>
      <c r="M38" s="22">
        <v>3.13</v>
      </c>
      <c r="N38" s="22">
        <v>13.44698339127075</v>
      </c>
      <c r="O38" s="17">
        <v>1118018.6625010101</v>
      </c>
      <c r="P38" s="22">
        <v>1.2765871308793451</v>
      </c>
      <c r="Q38" s="17">
        <v>1427248.236631728</v>
      </c>
      <c r="R38" s="17">
        <v>7135461.6301021846</v>
      </c>
      <c r="S38" s="18"/>
      <c r="T38" s="22">
        <v>9.7183815633913753</v>
      </c>
      <c r="U38" s="22">
        <v>6.8</v>
      </c>
      <c r="V38" s="22">
        <v>104.22711781709199</v>
      </c>
      <c r="W38" s="22">
        <v>132.0567963221032</v>
      </c>
      <c r="X38" s="18"/>
    </row>
    <row r="39" spans="1:24" x14ac:dyDescent="0.25">
      <c r="A39" s="13">
        <v>43646</v>
      </c>
      <c r="B39" s="2">
        <v>7742083</v>
      </c>
      <c r="C39" s="2">
        <v>5756427.9883195106</v>
      </c>
      <c r="D39" s="7">
        <f t="shared" si="0"/>
        <v>1.3449456877962556</v>
      </c>
      <c r="E39" s="7"/>
      <c r="F39" s="17">
        <v>692189</v>
      </c>
      <c r="G39" s="17">
        <v>1521398</v>
      </c>
      <c r="H39" s="17">
        <v>746087</v>
      </c>
      <c r="I39" s="17">
        <v>1697014</v>
      </c>
      <c r="J39" s="17">
        <v>219908</v>
      </c>
      <c r="K39" s="17">
        <v>2865488</v>
      </c>
      <c r="L39" s="22">
        <v>13.40155066067026</v>
      </c>
      <c r="M39" s="22">
        <v>7.36</v>
      </c>
      <c r="N39" s="22">
        <v>13.39190802892638</v>
      </c>
      <c r="O39" s="17">
        <v>1367132.24918892</v>
      </c>
      <c r="P39" s="22">
        <v>1.2765871308793451</v>
      </c>
      <c r="Q39" s="17">
        <v>1745263.43552471</v>
      </c>
      <c r="R39" s="17">
        <v>7309492.1679318724</v>
      </c>
      <c r="S39" s="18"/>
      <c r="T39" s="22">
        <v>11.07604977498802</v>
      </c>
      <c r="U39" s="22">
        <v>6.7</v>
      </c>
      <c r="V39" s="22">
        <v>105.91820638328321</v>
      </c>
      <c r="W39" s="22">
        <v>134.49456877962561</v>
      </c>
      <c r="X39" s="18"/>
    </row>
    <row r="40" spans="1:24" x14ac:dyDescent="0.25">
      <c r="A40" s="13">
        <v>43738</v>
      </c>
      <c r="B40" s="2">
        <v>7888910</v>
      </c>
      <c r="C40" s="2">
        <v>5885452.9547654707</v>
      </c>
      <c r="D40" s="7">
        <f t="shared" si="0"/>
        <v>1.3404083017284716</v>
      </c>
      <c r="E40" s="7"/>
      <c r="F40" s="17">
        <v>696539</v>
      </c>
      <c r="G40" s="17">
        <v>1528279</v>
      </c>
      <c r="H40" s="17">
        <v>755355</v>
      </c>
      <c r="I40" s="17">
        <v>1739025</v>
      </c>
      <c r="J40" s="17">
        <v>222872</v>
      </c>
      <c r="K40" s="17">
        <v>2946840</v>
      </c>
      <c r="L40" s="22">
        <v>12.93015657517536</v>
      </c>
      <c r="M40" s="22">
        <v>9.4</v>
      </c>
      <c r="N40" s="22">
        <v>12.92903225806454</v>
      </c>
      <c r="O40" s="17">
        <v>1541309.7203563901</v>
      </c>
      <c r="P40" s="22">
        <v>1.2765871308793451</v>
      </c>
      <c r="Q40" s="17">
        <v>1967616.15370621</v>
      </c>
      <c r="R40" s="17">
        <v>7491079.7020666329</v>
      </c>
      <c r="S40" s="18"/>
      <c r="T40" s="22">
        <v>10.16711222568938</v>
      </c>
      <c r="U40" s="22">
        <v>7.5</v>
      </c>
      <c r="V40" s="22">
        <v>105.31072040020631</v>
      </c>
      <c r="W40" s="22">
        <v>134.04083017284719</v>
      </c>
      <c r="X40" s="18"/>
    </row>
    <row r="41" spans="1:24" x14ac:dyDescent="0.25">
      <c r="A41" s="13">
        <v>43830</v>
      </c>
      <c r="B41" s="2">
        <v>8195393</v>
      </c>
      <c r="C41" s="2">
        <v>6037347.630702721</v>
      </c>
      <c r="D41" s="7">
        <f t="shared" si="0"/>
        <v>1.3574492477992512</v>
      </c>
      <c r="E41" s="7"/>
      <c r="F41" s="17">
        <v>716217</v>
      </c>
      <c r="G41" s="17">
        <v>1560154</v>
      </c>
      <c r="H41" s="17">
        <v>800878</v>
      </c>
      <c r="I41" s="17">
        <v>1845992</v>
      </c>
      <c r="J41" s="17">
        <v>221782</v>
      </c>
      <c r="K41" s="17">
        <v>3050370</v>
      </c>
      <c r="L41" s="22">
        <v>11.113891875770429</v>
      </c>
      <c r="M41" s="22">
        <v>13.65</v>
      </c>
      <c r="N41" s="22">
        <v>13.650000000000009</v>
      </c>
      <c r="O41" s="17">
        <v>2010886.9986564</v>
      </c>
      <c r="P41" s="22">
        <v>1.2765871308793451</v>
      </c>
      <c r="Q41" s="17">
        <v>2567072.4641373521</v>
      </c>
      <c r="R41" s="17">
        <v>7707200.290000001</v>
      </c>
      <c r="S41" s="17">
        <v>7707200.29</v>
      </c>
      <c r="T41" s="22">
        <v>9.1928971460841566</v>
      </c>
      <c r="U41" s="22">
        <v>7</v>
      </c>
      <c r="V41" s="22">
        <v>106.33424189888279</v>
      </c>
      <c r="W41" s="22">
        <v>135.7449247799251</v>
      </c>
      <c r="X41" s="22">
        <v>12.1</v>
      </c>
    </row>
    <row r="42" spans="1:24" x14ac:dyDescent="0.25">
      <c r="A42" s="13">
        <v>43921</v>
      </c>
      <c r="B42" s="2">
        <v>8302412</v>
      </c>
      <c r="C42" s="2">
        <v>6112813.7330292603</v>
      </c>
      <c r="D42" s="7">
        <f t="shared" si="0"/>
        <v>1.3581981003510251</v>
      </c>
      <c r="E42" s="7"/>
      <c r="F42" s="17">
        <v>721191</v>
      </c>
      <c r="G42" s="17">
        <v>1593200</v>
      </c>
      <c r="H42" s="17">
        <v>817813</v>
      </c>
      <c r="I42" s="17">
        <v>1859665</v>
      </c>
      <c r="J42" s="17">
        <v>226531</v>
      </c>
      <c r="K42" s="17">
        <v>3084013</v>
      </c>
      <c r="L42" s="22">
        <v>11.63528295894387</v>
      </c>
      <c r="M42" s="22">
        <v>1.31</v>
      </c>
      <c r="N42" s="22">
        <v>11.644346940754399</v>
      </c>
      <c r="O42" s="17">
        <v>1193484.7648275499</v>
      </c>
      <c r="P42" s="22">
        <v>1.278296420877816</v>
      </c>
      <c r="Q42" s="17">
        <v>1525627.303251259</v>
      </c>
      <c r="R42" s="17">
        <v>7805579.3566195322</v>
      </c>
      <c r="S42" s="18"/>
      <c r="T42" s="22">
        <v>6.8929191218833674</v>
      </c>
      <c r="U42" s="22">
        <v>3.7</v>
      </c>
      <c r="V42" s="22">
        <v>106.3650963071579</v>
      </c>
      <c r="W42" s="22">
        <v>135.81981003510251</v>
      </c>
      <c r="X42" s="18"/>
    </row>
    <row r="43" spans="1:24" x14ac:dyDescent="0.25">
      <c r="A43" s="13">
        <v>44012</v>
      </c>
      <c r="B43" s="2">
        <v>8494504</v>
      </c>
      <c r="C43" s="2">
        <v>6128632.0311987996</v>
      </c>
      <c r="D43" s="7">
        <f t="shared" si="0"/>
        <v>1.3860358978573593</v>
      </c>
      <c r="E43" s="7"/>
      <c r="F43" s="17">
        <v>734369</v>
      </c>
      <c r="G43" s="17">
        <v>1621856</v>
      </c>
      <c r="H43" s="17">
        <v>836554</v>
      </c>
      <c r="I43" s="17">
        <v>1910204</v>
      </c>
      <c r="J43" s="17">
        <v>225580</v>
      </c>
      <c r="K43" s="17">
        <v>3165942</v>
      </c>
      <c r="L43" s="22">
        <v>9.7185860704412477</v>
      </c>
      <c r="M43" s="22">
        <v>3.65</v>
      </c>
      <c r="N43" s="22">
        <v>9.7226387853949667</v>
      </c>
      <c r="O43" s="17">
        <v>1382950.54735846</v>
      </c>
      <c r="P43" s="22">
        <v>1.278296420877816</v>
      </c>
      <c r="Q43" s="17">
        <v>1767820.7349393361</v>
      </c>
      <c r="R43" s="17">
        <v>7828136.6560341585</v>
      </c>
      <c r="S43" s="18"/>
      <c r="T43" s="22">
        <v>1.2924867934246631</v>
      </c>
      <c r="U43" s="22">
        <v>0.4</v>
      </c>
      <c r="V43" s="22">
        <v>108.5124643736538</v>
      </c>
      <c r="W43" s="22">
        <v>138.60358978573589</v>
      </c>
      <c r="X43" s="18"/>
    </row>
    <row r="44" spans="1:24" x14ac:dyDescent="0.25">
      <c r="A44" s="13">
        <v>44104</v>
      </c>
      <c r="B44" s="2">
        <v>8694050</v>
      </c>
      <c r="C44" s="2">
        <v>6182524.3681988101</v>
      </c>
      <c r="D44" s="7">
        <f t="shared" si="0"/>
        <v>1.4062297990639196</v>
      </c>
      <c r="E44" s="7"/>
      <c r="F44" s="17">
        <v>750313</v>
      </c>
      <c r="G44" s="17">
        <v>1624931</v>
      </c>
      <c r="H44" s="17">
        <v>859918</v>
      </c>
      <c r="I44" s="17">
        <v>1973406</v>
      </c>
      <c r="J44" s="17">
        <v>227991</v>
      </c>
      <c r="K44" s="17">
        <v>3257491</v>
      </c>
      <c r="L44" s="22">
        <v>10.205972688242101</v>
      </c>
      <c r="M44" s="22">
        <v>6.08</v>
      </c>
      <c r="N44" s="22">
        <v>10.201023765996339</v>
      </c>
      <c r="O44" s="17">
        <v>1595202.0573563999</v>
      </c>
      <c r="P44" s="22">
        <v>1.278296420877816</v>
      </c>
      <c r="Q44" s="17">
        <v>2039141.080495615</v>
      </c>
      <c r="R44" s="17">
        <v>7899661.5828235634</v>
      </c>
      <c r="S44" s="18"/>
      <c r="T44" s="22">
        <v>3.6351056914571518</v>
      </c>
      <c r="U44" s="22">
        <v>2.6</v>
      </c>
      <c r="V44" s="22">
        <v>110.05598035874969</v>
      </c>
      <c r="W44" s="22">
        <v>140.622979906392</v>
      </c>
      <c r="X44" s="18"/>
    </row>
    <row r="45" spans="1:24" x14ac:dyDescent="0.25">
      <c r="A45" s="13">
        <v>44196</v>
      </c>
      <c r="B45" s="2">
        <v>9192566</v>
      </c>
      <c r="C45" s="2">
        <v>6293051.9076912198</v>
      </c>
      <c r="D45" s="7">
        <f t="shared" si="0"/>
        <v>1.460748478614178</v>
      </c>
      <c r="E45" s="7"/>
      <c r="F45" s="17">
        <v>775702</v>
      </c>
      <c r="G45" s="17">
        <v>1732451</v>
      </c>
      <c r="H45" s="17">
        <v>853905</v>
      </c>
      <c r="I45" s="17">
        <v>2104832</v>
      </c>
      <c r="J45" s="17">
        <v>241343</v>
      </c>
      <c r="K45" s="17">
        <v>3484334</v>
      </c>
      <c r="L45" s="22">
        <v>12.1674823891911</v>
      </c>
      <c r="M45" s="22">
        <v>12.17</v>
      </c>
      <c r="N45" s="22">
        <v>12.169999999999989</v>
      </c>
      <c r="O45" s="17">
        <v>2121414.5381488102</v>
      </c>
      <c r="P45" s="22">
        <v>1.278296420877816</v>
      </c>
      <c r="Q45" s="17">
        <v>2711796.6113137901</v>
      </c>
      <c r="R45" s="17">
        <v>8044385.7300000014</v>
      </c>
      <c r="S45" s="17">
        <v>8044385.7300000004</v>
      </c>
      <c r="T45" s="22">
        <v>5.6377117980995983</v>
      </c>
      <c r="U45" s="22">
        <v>4.5</v>
      </c>
      <c r="V45" s="22">
        <v>114.2730633330781</v>
      </c>
      <c r="W45" s="22">
        <v>146.07484786141779</v>
      </c>
      <c r="X45" s="22">
        <v>10.14</v>
      </c>
    </row>
    <row r="46" spans="1:24" x14ac:dyDescent="0.25">
      <c r="A46" s="13">
        <v>44286</v>
      </c>
      <c r="B46" s="2">
        <v>9463868</v>
      </c>
      <c r="C46" s="2">
        <v>7063324.7767347004</v>
      </c>
      <c r="D46" s="7">
        <f t="shared" si="0"/>
        <v>1.3398602356743172</v>
      </c>
      <c r="E46" s="7"/>
      <c r="F46" s="17">
        <v>782736</v>
      </c>
      <c r="G46" s="17">
        <v>1804265</v>
      </c>
      <c r="H46" s="17">
        <v>858078</v>
      </c>
      <c r="I46" s="17">
        <v>2172915</v>
      </c>
      <c r="J46" s="17">
        <v>242906</v>
      </c>
      <c r="K46" s="17">
        <v>3602969</v>
      </c>
      <c r="L46" s="22">
        <v>13.98938043546862</v>
      </c>
      <c r="M46" s="22">
        <v>2.95</v>
      </c>
      <c r="N46" s="22">
        <v>13.985801006810769</v>
      </c>
      <c r="O46" s="17">
        <v>1963757.6338710301</v>
      </c>
      <c r="P46" s="22">
        <v>1</v>
      </c>
      <c r="Q46" s="17">
        <v>1963757.6338710301</v>
      </c>
      <c r="R46" s="17">
        <v>8482516.0606197715</v>
      </c>
      <c r="S46" s="18"/>
      <c r="T46" s="18"/>
      <c r="U46" s="22">
        <v>4.5</v>
      </c>
      <c r="V46" s="22">
        <v>111.5691138380058</v>
      </c>
      <c r="W46" s="22">
        <v>133.98602356743169</v>
      </c>
      <c r="X46" s="18"/>
    </row>
    <row r="47" spans="1:24" x14ac:dyDescent="0.25">
      <c r="A47" s="13">
        <v>44377</v>
      </c>
      <c r="B47" s="2">
        <v>9784937</v>
      </c>
      <c r="C47" s="2">
        <v>7719521.7670033798</v>
      </c>
      <c r="D47" s="7">
        <f t="shared" si="0"/>
        <v>1.2675574077431986</v>
      </c>
      <c r="E47" s="7"/>
      <c r="F47" s="17">
        <v>789750</v>
      </c>
      <c r="G47" s="17">
        <v>1886703</v>
      </c>
      <c r="H47" s="17">
        <v>860280</v>
      </c>
      <c r="I47" s="17">
        <v>2276606</v>
      </c>
      <c r="J47" s="17">
        <v>252514</v>
      </c>
      <c r="K47" s="17">
        <v>3719085</v>
      </c>
      <c r="L47" s="22">
        <v>15.19138727817422</v>
      </c>
      <c r="M47" s="22">
        <v>6.44</v>
      </c>
      <c r="N47" s="22">
        <v>15.18933719247468</v>
      </c>
      <c r="O47" s="17">
        <v>2039147.5376271401</v>
      </c>
      <c r="P47" s="22">
        <v>1</v>
      </c>
      <c r="Q47" s="17">
        <v>2039147.5376271401</v>
      </c>
      <c r="R47" s="17">
        <v>8753842.8633075766</v>
      </c>
      <c r="S47" s="18"/>
      <c r="T47" s="18"/>
      <c r="U47" s="22">
        <v>6.6</v>
      </c>
      <c r="V47" s="22">
        <v>111.7787599434111</v>
      </c>
      <c r="W47" s="22">
        <v>126.7557407743199</v>
      </c>
      <c r="X47" s="18"/>
    </row>
    <row r="48" spans="1:24" x14ac:dyDescent="0.25">
      <c r="A48" s="13">
        <v>44469</v>
      </c>
      <c r="B48" s="2">
        <v>9917032</v>
      </c>
      <c r="C48" s="2">
        <v>8121015.9901939407</v>
      </c>
      <c r="D48" s="7">
        <f t="shared" si="0"/>
        <v>1.2211565661211274</v>
      </c>
      <c r="E48" s="7"/>
      <c r="F48" s="17">
        <v>795743</v>
      </c>
      <c r="G48" s="17">
        <v>1943212</v>
      </c>
      <c r="H48" s="17">
        <v>857730</v>
      </c>
      <c r="I48" s="17">
        <v>2325198</v>
      </c>
      <c r="J48" s="17">
        <v>254509</v>
      </c>
      <c r="K48" s="17">
        <v>3740637</v>
      </c>
      <c r="L48" s="22">
        <v>14.06688482352873</v>
      </c>
      <c r="M48" s="22">
        <v>7.88</v>
      </c>
      <c r="N48" s="22">
        <v>14.07333710407239</v>
      </c>
      <c r="O48" s="17">
        <v>1996696.28054696</v>
      </c>
      <c r="P48" s="22">
        <v>1</v>
      </c>
      <c r="Q48" s="17">
        <v>1996696.28054696</v>
      </c>
      <c r="R48" s="17">
        <v>8711398.0633589216</v>
      </c>
      <c r="S48" s="18"/>
      <c r="T48" s="18"/>
      <c r="U48" s="22">
        <v>-6.2</v>
      </c>
      <c r="V48" s="22">
        <v>113.83972960335841</v>
      </c>
      <c r="W48" s="22">
        <v>122.1156566121127</v>
      </c>
      <c r="X48" s="18"/>
    </row>
    <row r="49" spans="1:24" x14ac:dyDescent="0.25">
      <c r="A49" s="13">
        <v>44561</v>
      </c>
      <c r="B49" s="2">
        <v>10444078</v>
      </c>
      <c r="C49" s="2">
        <v>8398606.2200859208</v>
      </c>
      <c r="D49" s="7">
        <f t="shared" si="0"/>
        <v>1.2435489563759012</v>
      </c>
      <c r="E49" s="7"/>
      <c r="F49" s="17">
        <v>825079</v>
      </c>
      <c r="G49" s="17">
        <v>1980745</v>
      </c>
      <c r="H49" s="17">
        <v>889025</v>
      </c>
      <c r="I49" s="17">
        <v>2480235</v>
      </c>
      <c r="J49" s="17">
        <v>268227</v>
      </c>
      <c r="K49" s="17">
        <v>4000765</v>
      </c>
      <c r="L49" s="22">
        <v>13.61439232527675</v>
      </c>
      <c r="M49" s="22">
        <v>13.61</v>
      </c>
      <c r="N49" s="22">
        <v>13.609999999999991</v>
      </c>
      <c r="O49" s="17">
        <v>2399004.7680407902</v>
      </c>
      <c r="P49" s="22">
        <v>1</v>
      </c>
      <c r="Q49" s="17">
        <v>2399004.7680407902</v>
      </c>
      <c r="R49" s="17">
        <v>8398606.2200859208</v>
      </c>
      <c r="S49" s="17">
        <v>8487475.5999999996</v>
      </c>
      <c r="T49" s="18"/>
      <c r="U49" s="22">
        <v>5.2</v>
      </c>
      <c r="V49" s="22">
        <v>124.3548956375901</v>
      </c>
      <c r="W49" s="22">
        <v>124.3548956375901</v>
      </c>
      <c r="X49" s="18"/>
    </row>
    <row r="50" spans="1:24" x14ac:dyDescent="0.25">
      <c r="A50" s="13">
        <v>44651</v>
      </c>
      <c r="B50" s="2">
        <v>11067407.98</v>
      </c>
      <c r="C50" s="2">
        <v>8572261.5862080716</v>
      </c>
      <c r="D50" s="7">
        <f t="shared" si="0"/>
        <v>1.2910721247478465</v>
      </c>
      <c r="E50" s="7"/>
      <c r="F50" s="17">
        <v>857786</v>
      </c>
      <c r="G50" s="17">
        <v>2077968</v>
      </c>
      <c r="H50" s="17">
        <v>914823</v>
      </c>
      <c r="I50" s="17">
        <v>2625246</v>
      </c>
      <c r="J50" s="17">
        <v>278621</v>
      </c>
      <c r="K50" s="17">
        <v>4312961</v>
      </c>
      <c r="L50" s="22">
        <v>16.94381176914133</v>
      </c>
      <c r="M50" s="22">
        <v>5.97</v>
      </c>
      <c r="N50" s="22">
        <v>16.94270713938803</v>
      </c>
      <c r="O50" s="17">
        <v>2137412.9999931799</v>
      </c>
      <c r="P50" s="22">
        <v>1</v>
      </c>
      <c r="Q50" s="17">
        <v>2137412.9999931799</v>
      </c>
      <c r="R50" s="17">
        <v>8572261.5862080716</v>
      </c>
      <c r="S50" s="18"/>
      <c r="T50" s="22">
        <v>8.8430141849956456</v>
      </c>
      <c r="U50" s="22">
        <v>5</v>
      </c>
      <c r="V50" s="22">
        <v>129.10721247478469</v>
      </c>
      <c r="W50" s="22">
        <v>129.10721247478469</v>
      </c>
      <c r="X50" s="18"/>
    </row>
    <row r="51" spans="1:24" x14ac:dyDescent="0.25">
      <c r="A51" s="13">
        <v>44742</v>
      </c>
      <c r="B51" s="2">
        <v>11428653.23</v>
      </c>
      <c r="C51" s="2">
        <v>8825126.3857020605</v>
      </c>
      <c r="D51" s="7">
        <f t="shared" si="0"/>
        <v>1.2950129811756597</v>
      </c>
      <c r="E51" s="7"/>
      <c r="F51" s="17">
        <v>887162</v>
      </c>
      <c r="G51" s="17">
        <v>2130377</v>
      </c>
      <c r="H51" s="17">
        <v>943961</v>
      </c>
      <c r="I51" s="17">
        <v>2726811</v>
      </c>
      <c r="J51" s="17">
        <v>278297</v>
      </c>
      <c r="K51" s="17">
        <v>4462046</v>
      </c>
      <c r="L51" s="22">
        <v>16.79843447126947</v>
      </c>
      <c r="M51" s="22">
        <v>9.44</v>
      </c>
      <c r="N51" s="22">
        <v>16.8120856820744</v>
      </c>
      <c r="O51" s="17">
        <v>2292012.33712113</v>
      </c>
      <c r="P51" s="22">
        <v>1</v>
      </c>
      <c r="Q51" s="17">
        <v>2292012.33712113</v>
      </c>
      <c r="R51" s="17">
        <v>8825126.3857020605</v>
      </c>
      <c r="S51" s="18"/>
      <c r="T51" s="22">
        <v>12.40051515783094</v>
      </c>
      <c r="U51" s="22">
        <v>7.7</v>
      </c>
      <c r="V51" s="22">
        <v>129.50129811756599</v>
      </c>
      <c r="W51" s="22">
        <v>129.50129811756599</v>
      </c>
      <c r="X51" s="18"/>
    </row>
    <row r="52" spans="1:24" x14ac:dyDescent="0.25">
      <c r="A52" s="13">
        <v>44834</v>
      </c>
      <c r="B52" s="2">
        <v>11597310.32</v>
      </c>
      <c r="C52" s="2">
        <v>9206730.4586370606</v>
      </c>
      <c r="D52" s="7">
        <f t="shared" si="0"/>
        <v>1.2596556803854595</v>
      </c>
      <c r="E52" s="7"/>
      <c r="F52" s="17">
        <v>888368</v>
      </c>
      <c r="G52" s="17">
        <v>2129553</v>
      </c>
      <c r="H52" s="17">
        <v>967517</v>
      </c>
      <c r="I52" s="17">
        <v>2774415</v>
      </c>
      <c r="J52" s="17">
        <v>272800</v>
      </c>
      <c r="K52" s="17">
        <v>4564658</v>
      </c>
      <c r="L52" s="22">
        <v>16.943358859787882</v>
      </c>
      <c r="M52" s="22">
        <v>11.05</v>
      </c>
      <c r="N52" s="22">
        <v>16.94837319243603</v>
      </c>
      <c r="O52" s="17">
        <v>2378300.3534819591</v>
      </c>
      <c r="P52" s="22">
        <v>1</v>
      </c>
      <c r="Q52" s="17">
        <v>2378300.3534819591</v>
      </c>
      <c r="R52" s="17">
        <v>9206730.4586370606</v>
      </c>
      <c r="S52" s="18"/>
      <c r="T52" s="22">
        <v>19.11177361588841</v>
      </c>
      <c r="U52" s="22">
        <v>13.7</v>
      </c>
      <c r="V52" s="22">
        <v>125.965568038546</v>
      </c>
      <c r="W52" s="22">
        <v>125.965568038546</v>
      </c>
      <c r="X52" s="18"/>
    </row>
    <row r="53" spans="1:24" x14ac:dyDescent="0.25">
      <c r="A53" s="13">
        <v>44926</v>
      </c>
      <c r="B53" s="2">
        <v>11924433.609999999</v>
      </c>
      <c r="C53" s="2">
        <v>9476856.656995276</v>
      </c>
      <c r="D53" s="7">
        <f t="shared" si="0"/>
        <v>1.2582688587146733</v>
      </c>
      <c r="E53" s="7"/>
      <c r="F53" s="17">
        <v>890502</v>
      </c>
      <c r="G53" s="17">
        <v>2101761</v>
      </c>
      <c r="H53" s="17">
        <v>994468</v>
      </c>
      <c r="I53" s="17">
        <v>2872748</v>
      </c>
      <c r="J53" s="17">
        <v>267908</v>
      </c>
      <c r="K53" s="17">
        <v>4797047</v>
      </c>
      <c r="L53" s="22">
        <v>14.174114842880339</v>
      </c>
      <c r="M53" s="22">
        <v>14.2</v>
      </c>
      <c r="N53" s="22">
        <v>14.19999999999999</v>
      </c>
      <c r="O53" s="17">
        <v>2669130.966399007</v>
      </c>
      <c r="P53" s="22">
        <v>1</v>
      </c>
      <c r="Q53" s="17">
        <v>2669130.966399007</v>
      </c>
      <c r="R53" s="17">
        <v>9476856.6569952779</v>
      </c>
      <c r="S53" s="17">
        <v>9621371.8200000003</v>
      </c>
      <c r="T53" s="22">
        <v>11.2599275314831</v>
      </c>
      <c r="U53" s="22">
        <v>5.9</v>
      </c>
      <c r="V53" s="22">
        <v>125.8268858714673</v>
      </c>
      <c r="W53" s="22">
        <v>125.8268858714673</v>
      </c>
      <c r="X53" s="22">
        <v>12.87</v>
      </c>
    </row>
    <row r="54" spans="1:24" x14ac:dyDescent="0.25">
      <c r="A54" s="13">
        <v>45016</v>
      </c>
      <c r="B54" s="2">
        <v>12231723.640000001</v>
      </c>
      <c r="C54" s="2">
        <v>9636276.6075281277</v>
      </c>
      <c r="D54" s="7">
        <f t="shared" si="0"/>
        <v>1.2693412754926769</v>
      </c>
      <c r="E54" s="7"/>
      <c r="F54" s="17">
        <v>902228</v>
      </c>
      <c r="G54" s="17">
        <v>2159720</v>
      </c>
      <c r="H54" s="17">
        <v>1028999</v>
      </c>
      <c r="I54" s="17">
        <v>2973490</v>
      </c>
      <c r="J54" s="17">
        <v>274478</v>
      </c>
      <c r="K54" s="17">
        <v>4892808</v>
      </c>
      <c r="L54" s="22">
        <v>10.52021992958101</v>
      </c>
      <c r="M54" s="22">
        <v>2.56</v>
      </c>
      <c r="N54" s="22">
        <v>10.525167500235909</v>
      </c>
      <c r="O54" s="17">
        <v>2296832.9505260298</v>
      </c>
      <c r="P54" s="22">
        <v>1</v>
      </c>
      <c r="Q54" s="17">
        <v>2296832.9505260298</v>
      </c>
      <c r="R54" s="17">
        <v>9636276.6075281277</v>
      </c>
      <c r="S54" s="18"/>
      <c r="T54" s="22">
        <v>7.4585468757492501</v>
      </c>
      <c r="U54" s="22">
        <v>3.3</v>
      </c>
      <c r="V54" s="22">
        <v>126.9341275492677</v>
      </c>
      <c r="W54" s="22">
        <v>126.9341275492677</v>
      </c>
      <c r="X54" s="18"/>
    </row>
    <row r="55" spans="1:24" x14ac:dyDescent="0.25">
      <c r="A55" s="13">
        <v>45107</v>
      </c>
      <c r="B55" s="2">
        <v>12487912.51</v>
      </c>
      <c r="C55" s="2">
        <v>9789880.9359201062</v>
      </c>
      <c r="D55" s="7">
        <f t="shared" si="0"/>
        <v>1.2755939108697973</v>
      </c>
      <c r="E55" s="7"/>
      <c r="F55" s="17">
        <v>912467</v>
      </c>
      <c r="G55" s="17">
        <v>2188022</v>
      </c>
      <c r="H55" s="17">
        <v>1055734</v>
      </c>
      <c r="I55" s="17">
        <v>3068783</v>
      </c>
      <c r="J55" s="17">
        <v>295394</v>
      </c>
      <c r="K55" s="17">
        <v>4967511</v>
      </c>
      <c r="L55" s="22">
        <v>9.268452359893665</v>
      </c>
      <c r="M55" s="22">
        <v>4.71</v>
      </c>
      <c r="N55" s="22">
        <v>9.2642726608186834</v>
      </c>
      <c r="O55" s="17">
        <v>2445616.6655131099</v>
      </c>
      <c r="P55" s="22">
        <v>1</v>
      </c>
      <c r="Q55" s="17">
        <v>2445616.6655131099</v>
      </c>
      <c r="R55" s="17">
        <v>9789880.9359201062</v>
      </c>
      <c r="S55" s="18"/>
      <c r="T55" s="22">
        <v>6.7017234551587812</v>
      </c>
      <c r="U55" s="22">
        <v>4.0999999999999996</v>
      </c>
      <c r="V55" s="22">
        <v>127.5593910869797</v>
      </c>
      <c r="W55" s="22">
        <v>127.5593910869797</v>
      </c>
      <c r="X55" s="18"/>
    </row>
    <row r="56" spans="1:24" x14ac:dyDescent="0.25">
      <c r="A56" s="13">
        <v>45199</v>
      </c>
      <c r="B56" s="2">
        <v>12754669.119999999</v>
      </c>
      <c r="C56" s="2">
        <v>9966516.3271872979</v>
      </c>
      <c r="D56" s="7">
        <f t="shared" si="0"/>
        <v>1.2797519916971389</v>
      </c>
      <c r="E56" s="7"/>
      <c r="F56" s="17">
        <v>914564</v>
      </c>
      <c r="G56" s="17">
        <v>2233911</v>
      </c>
      <c r="H56" s="17">
        <v>1056421</v>
      </c>
      <c r="I56" s="17">
        <v>3174870</v>
      </c>
      <c r="J56" s="17">
        <v>301922</v>
      </c>
      <c r="K56" s="17">
        <v>5072980</v>
      </c>
      <c r="L56" s="22">
        <v>9.9795449812538841</v>
      </c>
      <c r="M56" s="22">
        <v>6.95</v>
      </c>
      <c r="N56" s="22">
        <v>9.9837010355695597</v>
      </c>
      <c r="O56" s="17">
        <v>2554935.7447491498</v>
      </c>
      <c r="P56" s="22">
        <v>1</v>
      </c>
      <c r="Q56" s="17">
        <v>2554935.7447491498</v>
      </c>
      <c r="R56" s="17">
        <v>9966516.3271872979</v>
      </c>
      <c r="S56" s="18"/>
      <c r="T56" s="22">
        <v>7.4269589628823462</v>
      </c>
      <c r="U56" s="22">
        <v>5.3</v>
      </c>
      <c r="V56" s="22">
        <v>127.9751991697139</v>
      </c>
      <c r="W56" s="22">
        <v>127.9751991697139</v>
      </c>
      <c r="X56" s="18"/>
    </row>
    <row r="57" spans="1:24" x14ac:dyDescent="0.25">
      <c r="A57" s="13">
        <v>45291</v>
      </c>
      <c r="B57" s="2">
        <v>13568977.92</v>
      </c>
      <c r="C57" s="2">
        <v>10218572.491890609</v>
      </c>
      <c r="D57" s="7">
        <f t="shared" si="0"/>
        <v>1.3278741165430152</v>
      </c>
      <c r="E57" s="7"/>
      <c r="F57" s="17">
        <v>952409</v>
      </c>
      <c r="G57" s="17">
        <v>2367479</v>
      </c>
      <c r="H57" s="17">
        <v>1103081</v>
      </c>
      <c r="I57" s="17">
        <v>3445941</v>
      </c>
      <c r="J57" s="17">
        <v>317538</v>
      </c>
      <c r="K57" s="17">
        <v>5382529</v>
      </c>
      <c r="L57" s="22">
        <v>13.79138300221541</v>
      </c>
      <c r="M57" s="22">
        <v>13.78</v>
      </c>
      <c r="N57" s="22">
        <v>13.77999999999999</v>
      </c>
      <c r="O57" s="17">
        <v>2921187.1311023198</v>
      </c>
      <c r="P57" s="22">
        <v>1</v>
      </c>
      <c r="Q57" s="17">
        <v>2921187.1311023198</v>
      </c>
      <c r="R57" s="17">
        <v>10218572.491890609</v>
      </c>
      <c r="S57" s="17">
        <v>10319058.868956</v>
      </c>
      <c r="T57" s="22">
        <v>9.4433794323463882</v>
      </c>
      <c r="U57" s="22">
        <v>6.7</v>
      </c>
      <c r="V57" s="22">
        <v>132.78741165430151</v>
      </c>
      <c r="W57" s="22">
        <v>132.78741165430151</v>
      </c>
      <c r="X57" s="18"/>
    </row>
    <row r="58" spans="1:24" x14ac:dyDescent="0.25">
      <c r="A58" s="13">
        <v>45382</v>
      </c>
      <c r="B58" s="2">
        <v>13761415.869999999</v>
      </c>
      <c r="C58" s="2">
        <v>10439375.88177513</v>
      </c>
      <c r="D58" s="7">
        <f t="shared" si="0"/>
        <v>1.3182220877805948</v>
      </c>
      <c r="E58" s="7"/>
      <c r="F58" s="17">
        <v>960623</v>
      </c>
      <c r="G58" s="17">
        <v>2437967</v>
      </c>
      <c r="H58" s="17">
        <v>1103175</v>
      </c>
      <c r="I58" s="17">
        <v>3514724</v>
      </c>
      <c r="J58" s="17">
        <v>317953</v>
      </c>
      <c r="K58" s="17">
        <v>5426973</v>
      </c>
      <c r="L58" s="22">
        <v>12.505941721881459</v>
      </c>
      <c r="M58" s="22">
        <v>1.42</v>
      </c>
      <c r="N58" s="22">
        <v>12.51528471138843</v>
      </c>
      <c r="O58" s="17">
        <v>2517636.3404105501</v>
      </c>
      <c r="P58" s="22">
        <v>1</v>
      </c>
      <c r="Q58" s="17">
        <v>2517636.3404105501</v>
      </c>
      <c r="R58" s="17">
        <v>10439375.88177513</v>
      </c>
      <c r="S58" s="18"/>
      <c r="T58" s="22">
        <v>9.6133848059760219</v>
      </c>
      <c r="U58" s="22">
        <v>5.7</v>
      </c>
      <c r="V58" s="22">
        <v>131.82220877805949</v>
      </c>
      <c r="W58" s="22">
        <v>131.82220877805949</v>
      </c>
      <c r="X58" s="18"/>
    </row>
    <row r="59" spans="1:24" x14ac:dyDescent="0.25">
      <c r="A59" s="13">
        <v>45473</v>
      </c>
      <c r="B59" s="2">
        <v>14396261.98</v>
      </c>
      <c r="C59" s="2">
        <v>10725912.347523451</v>
      </c>
      <c r="D59" s="7">
        <f t="shared" si="0"/>
        <v>1.3421946323590843</v>
      </c>
      <c r="E59" s="7"/>
      <c r="F59" s="17">
        <v>985944</v>
      </c>
      <c r="G59" s="17">
        <v>2539331</v>
      </c>
      <c r="H59" s="17">
        <v>1138879</v>
      </c>
      <c r="I59" s="17">
        <v>3650115</v>
      </c>
      <c r="J59" s="17">
        <v>328927</v>
      </c>
      <c r="K59" s="17">
        <v>5753065</v>
      </c>
      <c r="L59" s="22">
        <v>15.28157302889368</v>
      </c>
      <c r="M59" s="22">
        <v>6.1</v>
      </c>
      <c r="N59" s="22">
        <v>15.290402062840229</v>
      </c>
      <c r="O59" s="17">
        <v>2732153.1312614302</v>
      </c>
      <c r="P59" s="22">
        <v>1</v>
      </c>
      <c r="Q59" s="17">
        <v>2732153.1312614302</v>
      </c>
      <c r="R59" s="17">
        <v>10725912.347523451</v>
      </c>
      <c r="S59" s="18"/>
      <c r="T59" s="22">
        <v>11.716327819846731</v>
      </c>
      <c r="U59" s="22">
        <v>6.9</v>
      </c>
      <c r="V59" s="22">
        <v>134.21946323590839</v>
      </c>
      <c r="W59" s="22">
        <v>134.21946323590839</v>
      </c>
      <c r="X59" s="18"/>
    </row>
    <row r="60" spans="1:24" x14ac:dyDescent="0.25">
      <c r="A60" s="13">
        <v>45565</v>
      </c>
      <c r="B60" s="2">
        <v>14805563.369999999</v>
      </c>
      <c r="C60" s="2">
        <v>11065975.07861059</v>
      </c>
      <c r="D60" s="7">
        <f t="shared" si="0"/>
        <v>1.3379357232258415</v>
      </c>
      <c r="E60" s="7"/>
      <c r="F60" s="17">
        <v>999316</v>
      </c>
      <c r="G60" s="17">
        <v>2588334</v>
      </c>
      <c r="H60" s="17">
        <v>1163279</v>
      </c>
      <c r="I60" s="17">
        <v>3778796</v>
      </c>
      <c r="J60" s="17">
        <v>343942</v>
      </c>
      <c r="K60" s="17">
        <v>5931897</v>
      </c>
      <c r="L60" s="22">
        <v>16.079556676104499</v>
      </c>
      <c r="M60" s="22">
        <v>9.11</v>
      </c>
      <c r="N60" s="22">
        <v>16.07794109396912</v>
      </c>
      <c r="O60" s="17">
        <v>2894998.47583629</v>
      </c>
      <c r="P60" s="22">
        <v>1</v>
      </c>
      <c r="Q60" s="17">
        <v>2894998.47583629</v>
      </c>
      <c r="R60" s="17">
        <v>11065975.07861059</v>
      </c>
      <c r="S60" s="18"/>
      <c r="T60" s="22">
        <v>13.31003066460792</v>
      </c>
      <c r="U60" s="22">
        <v>7.4</v>
      </c>
      <c r="V60" s="22">
        <v>133.79357232258411</v>
      </c>
      <c r="W60" s="22">
        <v>133.79357232258411</v>
      </c>
      <c r="X60" s="18"/>
    </row>
    <row r="61" spans="1:24" x14ac:dyDescent="0.25">
      <c r="A61" s="13">
        <v>45657</v>
      </c>
      <c r="B61" s="2">
        <v>15616213.73</v>
      </c>
      <c r="C61" s="2">
        <v>11442195.583716709</v>
      </c>
      <c r="D61" s="7">
        <f t="shared" si="0"/>
        <v>1.3647917146446353</v>
      </c>
      <c r="E61" s="7"/>
      <c r="F61" s="17">
        <v>1022398</v>
      </c>
      <c r="G61" s="17">
        <v>2678172</v>
      </c>
      <c r="H61" s="17">
        <v>1195036</v>
      </c>
      <c r="I61" s="17">
        <v>4024420</v>
      </c>
      <c r="J61" s="17">
        <v>381612</v>
      </c>
      <c r="K61" s="17">
        <v>6314576</v>
      </c>
      <c r="L61" s="22">
        <v>15.087619878741769</v>
      </c>
      <c r="M61" s="22">
        <v>15.09</v>
      </c>
      <c r="N61" s="22">
        <v>15.09</v>
      </c>
      <c r="O61" s="17">
        <v>3297407.6362084402</v>
      </c>
      <c r="P61" s="22">
        <v>1</v>
      </c>
      <c r="Q61" s="17">
        <v>3297407.6362084402</v>
      </c>
      <c r="R61" s="17">
        <v>11442195.583716709</v>
      </c>
      <c r="S61" s="17">
        <v>11510328.920773201</v>
      </c>
      <c r="T61" s="22">
        <v>12.879027882207341</v>
      </c>
      <c r="U61" s="22">
        <v>7.55</v>
      </c>
      <c r="V61" s="22">
        <v>136.47917146446349</v>
      </c>
      <c r="W61" s="22">
        <v>136.47917146446349</v>
      </c>
      <c r="X61" s="22">
        <v>15.08</v>
      </c>
    </row>
    <row r="62" spans="1:24" x14ac:dyDescent="0.25">
      <c r="A62" s="13">
        <v>45747</v>
      </c>
      <c r="B62" s="2">
        <v>16226458.02</v>
      </c>
      <c r="C62" s="2">
        <v>11734081.158466</v>
      </c>
      <c r="D62" s="7">
        <f t="shared" si="0"/>
        <v>1.3828486270774429</v>
      </c>
      <c r="E62" s="7"/>
      <c r="F62" s="17">
        <v>1037306</v>
      </c>
      <c r="G62" s="17">
        <v>2758503</v>
      </c>
      <c r="H62" s="17">
        <v>1226802</v>
      </c>
      <c r="I62" s="17">
        <v>4165463</v>
      </c>
      <c r="J62" s="17">
        <v>411215</v>
      </c>
      <c r="K62" s="17">
        <v>6627167</v>
      </c>
      <c r="L62" s="22">
        <v>17.91270733539718</v>
      </c>
      <c r="M62" s="22">
        <v>3.91</v>
      </c>
      <c r="N62" s="22">
        <v>17.915617235259319</v>
      </c>
      <c r="O62" s="17">
        <v>2809521.9151598401</v>
      </c>
      <c r="P62" s="22">
        <v>1</v>
      </c>
      <c r="Q62" s="17">
        <v>2809521.9151598401</v>
      </c>
      <c r="R62" s="17">
        <v>11734081.158466</v>
      </c>
      <c r="S62" s="18"/>
      <c r="T62" s="22">
        <v>11.593635270679799</v>
      </c>
      <c r="U62" s="22">
        <v>6.93</v>
      </c>
      <c r="V62" s="22">
        <v>138.28486270774431</v>
      </c>
      <c r="W62" s="22">
        <v>138.28486270774431</v>
      </c>
      <c r="X62" s="18"/>
    </row>
    <row r="63" spans="1:24" x14ac:dyDescent="0.25">
      <c r="A63" s="13">
        <v>45838</v>
      </c>
      <c r="B63" s="2">
        <v>17163138.399999999</v>
      </c>
      <c r="C63" s="2">
        <v>12101559.853662411</v>
      </c>
      <c r="D63" s="7">
        <f t="shared" si="0"/>
        <v>1.41825835739727</v>
      </c>
      <c r="E63" s="7"/>
      <c r="F63" s="17">
        <v>1075789</v>
      </c>
      <c r="G63" s="17">
        <v>2846084</v>
      </c>
      <c r="H63" s="17">
        <v>1276396</v>
      </c>
      <c r="I63" s="17">
        <v>4329892</v>
      </c>
      <c r="J63" s="17">
        <v>439118</v>
      </c>
      <c r="K63" s="17">
        <v>7195859</v>
      </c>
      <c r="L63" s="22">
        <v>19.219408648188541</v>
      </c>
      <c r="M63" s="22">
        <v>9.91</v>
      </c>
      <c r="N63" s="22">
        <v>19.222826578699362</v>
      </c>
      <c r="O63" s="17">
        <v>3099631.8264578399</v>
      </c>
      <c r="P63" s="22">
        <v>1</v>
      </c>
      <c r="Q63" s="17">
        <v>3099631.8264578399</v>
      </c>
      <c r="R63" s="17">
        <v>12101559.853662411</v>
      </c>
      <c r="S63" s="18"/>
      <c r="T63" s="22">
        <v>13.450150029721989</v>
      </c>
      <c r="U63" s="22">
        <v>8.19</v>
      </c>
      <c r="V63" s="22">
        <v>141.82583573972701</v>
      </c>
      <c r="W63" s="22">
        <v>141.82583573972701</v>
      </c>
      <c r="X63" s="18"/>
    </row>
    <row r="64" spans="1:24" x14ac:dyDescent="0.25">
      <c r="A64" s="13">
        <v>45930</v>
      </c>
      <c r="B64" s="2">
        <v>17780620.952978</v>
      </c>
      <c r="C64" s="2">
        <v>12443668.07929224</v>
      </c>
      <c r="D64" s="7">
        <f t="shared" si="0"/>
        <v>1.4288890413725428</v>
      </c>
      <c r="E64" s="7"/>
      <c r="F64" s="18"/>
      <c r="G64" s="17">
        <v>1123615.402</v>
      </c>
      <c r="H64" s="17">
        <v>2962593.8664000002</v>
      </c>
      <c r="I64" s="17">
        <v>1291953.4195999999</v>
      </c>
      <c r="J64" s="17">
        <v>4662693.0120000001</v>
      </c>
      <c r="K64" s="18"/>
      <c r="L64" s="22">
        <v>20.094186952765721</v>
      </c>
      <c r="M64" s="22">
        <v>13.86</v>
      </c>
      <c r="N64" s="22">
        <v>20.100333608285229</v>
      </c>
      <c r="O64" s="17">
        <v>3237106.7014661161</v>
      </c>
      <c r="P64" s="22">
        <v>1</v>
      </c>
      <c r="Q64" s="17">
        <v>3237106.7014661161</v>
      </c>
      <c r="R64" s="17">
        <v>12443668.07929224</v>
      </c>
      <c r="S64" s="18"/>
      <c r="T64" s="22">
        <v>11.817216087859929</v>
      </c>
      <c r="U64" s="22">
        <v>8.23</v>
      </c>
      <c r="V64" s="22">
        <v>142.88890413725429</v>
      </c>
      <c r="W64" s="22">
        <v>142.88890413725429</v>
      </c>
      <c r="X64" s="18"/>
    </row>
    <row r="65" spans="1:24" x14ac:dyDescent="0.25">
      <c r="A65" s="13">
        <v>46022</v>
      </c>
      <c r="B65" s="2">
        <v>18815882</v>
      </c>
      <c r="C65" s="2">
        <v>12857155.370514121</v>
      </c>
      <c r="D65" s="7">
        <f t="shared" si="0"/>
        <v>1.4634560645624062</v>
      </c>
      <c r="E65" s="7"/>
      <c r="F65" s="17">
        <v>1135006</v>
      </c>
      <c r="G65" s="17">
        <v>2947887</v>
      </c>
      <c r="H65" s="17">
        <v>1405724</v>
      </c>
      <c r="I65" s="17">
        <v>4411458</v>
      </c>
      <c r="J65" s="17">
        <v>476045</v>
      </c>
      <c r="K65" s="17">
        <v>8218809</v>
      </c>
      <c r="L65" s="22">
        <v>20.48939855282066</v>
      </c>
      <c r="M65" s="22">
        <v>19.07</v>
      </c>
      <c r="N65" s="22">
        <v>19.070000000000011</v>
      </c>
      <c r="O65" s="17">
        <v>3710894.9274303191</v>
      </c>
      <c r="P65" s="22">
        <v>1</v>
      </c>
      <c r="Q65" s="17">
        <v>3710894.9274303191</v>
      </c>
      <c r="R65" s="17">
        <v>12857155.370514121</v>
      </c>
      <c r="S65" s="17">
        <v>12847571.215993799</v>
      </c>
      <c r="T65" s="22">
        <v>12.539768716534301</v>
      </c>
      <c r="U65" s="22">
        <v>8.4600000000000009</v>
      </c>
      <c r="V65" s="22">
        <v>146.34560645624069</v>
      </c>
      <c r="W65" s="22">
        <v>146.34560645624069</v>
      </c>
      <c r="X65" s="18"/>
    </row>
    <row r="66" spans="1:24" x14ac:dyDescent="0.25">
      <c r="A66" s="13">
        <v>46112</v>
      </c>
      <c r="B66" s="2">
        <v>19186824</v>
      </c>
      <c r="C66" s="2">
        <v>13191611.39719077</v>
      </c>
      <c r="D66" s="7">
        <f t="shared" si="0"/>
        <v>1.4544715897320888</v>
      </c>
      <c r="E66" s="7"/>
      <c r="F66" s="17">
        <v>1174701</v>
      </c>
      <c r="G66" s="17">
        <v>3087333</v>
      </c>
      <c r="H66" s="17">
        <v>1470437</v>
      </c>
      <c r="I66" s="17">
        <v>4444600</v>
      </c>
      <c r="J66" s="17">
        <v>499765</v>
      </c>
      <c r="K66" s="17">
        <v>8509988</v>
      </c>
      <c r="L66" s="22">
        <v>18.24406766005982</v>
      </c>
      <c r="M66" s="22">
        <v>3.18</v>
      </c>
      <c r="N66" s="22">
        <v>18.233496294870591</v>
      </c>
      <c r="O66" s="17">
        <v>3143977.9418364968</v>
      </c>
      <c r="P66" s="22">
        <v>1</v>
      </c>
      <c r="Q66" s="17">
        <v>3143977.9418364968</v>
      </c>
      <c r="R66" s="17">
        <v>13191611.39719077</v>
      </c>
      <c r="S66" s="18"/>
      <c r="T66" s="22">
        <v>11.904375077908201</v>
      </c>
      <c r="U66" s="22">
        <v>7.83</v>
      </c>
      <c r="V66" s="22">
        <v>145.44715897320879</v>
      </c>
      <c r="W66" s="22">
        <v>145.44715897320879</v>
      </c>
      <c r="X66" s="18"/>
    </row>
    <row r="67" spans="1:24" x14ac:dyDescent="0.25">
      <c r="A67" s="13">
        <v>46203</v>
      </c>
      <c r="B67" s="2">
        <v>19703851</v>
      </c>
      <c r="C67" s="2">
        <v>13571466.801683851</v>
      </c>
      <c r="D67" s="7">
        <f t="shared" ref="D67:D68" si="1">B67/C67</f>
        <v>1.4518586154265423</v>
      </c>
      <c r="E67" s="7"/>
      <c r="F67" s="17">
        <v>1202756</v>
      </c>
      <c r="G67" s="17">
        <v>3196871</v>
      </c>
      <c r="H67" s="17">
        <v>1488112</v>
      </c>
      <c r="I67" s="17">
        <v>4462902</v>
      </c>
      <c r="J67" s="17">
        <v>524296</v>
      </c>
      <c r="K67" s="17">
        <v>8828916</v>
      </c>
      <c r="L67" s="22">
        <v>14.80331009857732</v>
      </c>
      <c r="M67" s="22">
        <v>8.3699999999999992</v>
      </c>
      <c r="N67" s="22">
        <v>17.401654990446751</v>
      </c>
      <c r="O67" s="17">
        <v>3479487.2309509148</v>
      </c>
      <c r="P67" s="22">
        <v>1</v>
      </c>
      <c r="Q67" s="17">
        <v>3479487.2309509148</v>
      </c>
      <c r="R67" s="17">
        <v>13571466.801683851</v>
      </c>
      <c r="S67" s="18"/>
      <c r="T67" s="22">
        <v>12.254855600936381</v>
      </c>
      <c r="U67" s="22">
        <v>8.39</v>
      </c>
      <c r="V67" s="22">
        <v>145.18586154265429</v>
      </c>
      <c r="W67" s="22">
        <v>145.18586154265429</v>
      </c>
      <c r="X67" s="18"/>
    </row>
    <row r="68" spans="1:24" x14ac:dyDescent="0.25">
      <c r="A68" s="13">
        <v>46295</v>
      </c>
      <c r="C68" s="6">
        <f>14.058*1000000</f>
        <v>14058000</v>
      </c>
      <c r="D68" s="7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K1" sqref="K1:K1048576"/>
    </sheetView>
  </sheetViews>
  <sheetFormatPr defaultRowHeight="15" x14ac:dyDescent="0.25"/>
  <cols>
    <col min="1" max="1" width="10.42578125" bestFit="1" customWidth="1"/>
    <col min="2" max="3" width="20" customWidth="1"/>
    <col min="4" max="4" width="29" customWidth="1"/>
    <col min="5" max="5" width="42" customWidth="1"/>
    <col min="6" max="6" width="37" customWidth="1"/>
    <col min="7" max="7" width="45" customWidth="1"/>
    <col min="8" max="8" width="38" customWidth="1"/>
    <col min="9" max="9" width="45" customWidth="1"/>
    <col min="10" max="10" width="36" customWidth="1"/>
    <col min="11" max="11" width="14" customWidth="1"/>
  </cols>
  <sheetData>
    <row r="1" spans="1:11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42</v>
      </c>
      <c r="F1" s="1" t="s">
        <v>43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44</v>
      </c>
    </row>
    <row r="2" spans="1:11" x14ac:dyDescent="0.25">
      <c r="A2" s="13">
        <v>40209</v>
      </c>
      <c r="B2" s="3">
        <v>5.0808779999999993</v>
      </c>
      <c r="C2" s="3">
        <v>6.0620699999999994</v>
      </c>
      <c r="D2" s="3">
        <v>-0.98119200000000006</v>
      </c>
      <c r="E2" s="3">
        <v>15.734999999999999</v>
      </c>
      <c r="J2" s="3">
        <v>16.088999999999999</v>
      </c>
      <c r="K2" t="s">
        <v>45</v>
      </c>
    </row>
    <row r="3" spans="1:11" x14ac:dyDescent="0.25">
      <c r="A3" s="13">
        <v>40237</v>
      </c>
      <c r="B3" s="3">
        <v>3.7172540000000001</v>
      </c>
      <c r="C3" s="3">
        <v>5.1131989999999998</v>
      </c>
      <c r="D3" s="3">
        <v>-1.395945</v>
      </c>
      <c r="E3" s="3">
        <v>15.492000000000001</v>
      </c>
      <c r="J3" s="3">
        <v>15.852</v>
      </c>
      <c r="K3" t="s">
        <v>45</v>
      </c>
    </row>
    <row r="4" spans="1:11" x14ac:dyDescent="0.25">
      <c r="A4" s="13">
        <v>40268</v>
      </c>
      <c r="B4" s="3">
        <v>5.5961020000000001</v>
      </c>
      <c r="C4" s="3">
        <v>6.8102679999999998</v>
      </c>
      <c r="D4" s="3">
        <v>-1.2141660000000001</v>
      </c>
      <c r="E4" s="3">
        <v>13.853999999999999</v>
      </c>
      <c r="J4" s="3">
        <v>14.215</v>
      </c>
      <c r="K4" t="s">
        <v>45</v>
      </c>
    </row>
    <row r="5" spans="1:11" x14ac:dyDescent="0.25">
      <c r="A5" s="13">
        <v>40298</v>
      </c>
      <c r="B5" s="3">
        <v>5.4587630000000003</v>
      </c>
      <c r="C5" s="3">
        <v>6.6795819999999999</v>
      </c>
      <c r="D5" s="3">
        <v>-1.2208190000000001</v>
      </c>
      <c r="E5" s="3">
        <v>14.332000000000001</v>
      </c>
      <c r="J5" s="3">
        <v>14.711</v>
      </c>
      <c r="K5" t="s">
        <v>45</v>
      </c>
    </row>
    <row r="6" spans="1:11" x14ac:dyDescent="0.25">
      <c r="A6" s="13">
        <v>40329</v>
      </c>
      <c r="B6" s="3">
        <v>6.313409</v>
      </c>
      <c r="C6" s="3">
        <v>7.206588</v>
      </c>
      <c r="D6" s="3">
        <v>-0.89317899999999995</v>
      </c>
      <c r="E6" s="3">
        <v>13.936</v>
      </c>
      <c r="J6" s="3">
        <v>14.331</v>
      </c>
      <c r="K6" t="s">
        <v>45</v>
      </c>
    </row>
    <row r="7" spans="1:11" x14ac:dyDescent="0.25">
      <c r="A7" s="13">
        <v>40359</v>
      </c>
      <c r="B7" s="3">
        <v>6.3191709999999999</v>
      </c>
      <c r="C7" s="3">
        <v>7.0708130000000002</v>
      </c>
      <c r="D7" s="3">
        <v>-0.75164200000000037</v>
      </c>
      <c r="E7" s="3">
        <v>14.121</v>
      </c>
      <c r="J7" s="3">
        <v>14.523999999999999</v>
      </c>
      <c r="K7" t="s">
        <v>45</v>
      </c>
    </row>
    <row r="8" spans="1:11" x14ac:dyDescent="0.25">
      <c r="A8" s="13">
        <v>40390</v>
      </c>
      <c r="B8" s="3">
        <v>6.0659930000000006</v>
      </c>
      <c r="C8" s="3">
        <v>7.0974650000000006</v>
      </c>
      <c r="D8" s="3">
        <v>-1.0314719999999999</v>
      </c>
      <c r="E8" s="3">
        <v>13.917</v>
      </c>
      <c r="J8" s="3">
        <v>14.295999999999999</v>
      </c>
      <c r="K8" t="s">
        <v>45</v>
      </c>
    </row>
    <row r="9" spans="1:11" x14ac:dyDescent="0.25">
      <c r="A9" s="13">
        <v>40421</v>
      </c>
      <c r="B9" s="3">
        <v>6.9374409999999997</v>
      </c>
      <c r="C9" s="3">
        <v>7.4222640000000002</v>
      </c>
      <c r="D9" s="3">
        <v>-0.48482300000000039</v>
      </c>
      <c r="E9" s="3">
        <v>13.727</v>
      </c>
      <c r="J9" s="3">
        <v>14.129</v>
      </c>
      <c r="K9" t="s">
        <v>45</v>
      </c>
    </row>
    <row r="10" spans="1:11" x14ac:dyDescent="0.25">
      <c r="A10" s="13">
        <v>40451</v>
      </c>
      <c r="B10" s="3">
        <v>6.2129899999999996</v>
      </c>
      <c r="C10" s="3">
        <v>7.0956020000000004</v>
      </c>
      <c r="D10" s="3">
        <v>-0.88261199999999995</v>
      </c>
      <c r="E10" s="3">
        <v>14.111000000000001</v>
      </c>
      <c r="J10" s="3">
        <v>14.537000000000001</v>
      </c>
      <c r="K10" t="s">
        <v>45</v>
      </c>
    </row>
    <row r="11" spans="1:11" x14ac:dyDescent="0.25">
      <c r="A11" s="13">
        <v>40482</v>
      </c>
      <c r="B11" s="3">
        <v>6.2823079999999996</v>
      </c>
      <c r="C11" s="3">
        <v>7.3962569999999994</v>
      </c>
      <c r="D11" s="3">
        <v>-1.1139490000000001</v>
      </c>
      <c r="E11" s="3">
        <v>14.097</v>
      </c>
      <c r="J11" s="3">
        <v>14.53</v>
      </c>
      <c r="K11" t="s">
        <v>45</v>
      </c>
    </row>
    <row r="12" spans="1:11" x14ac:dyDescent="0.25">
      <c r="A12" s="13">
        <v>40512</v>
      </c>
      <c r="B12" s="3">
        <v>6.7088919999999996</v>
      </c>
      <c r="C12" s="3">
        <v>8.0551820000000003</v>
      </c>
      <c r="D12" s="3">
        <v>-1.3462900000000011</v>
      </c>
      <c r="E12" s="3">
        <v>13.298</v>
      </c>
      <c r="J12" s="3">
        <v>13.742000000000001</v>
      </c>
      <c r="K12" t="s">
        <v>45</v>
      </c>
    </row>
    <row r="13" spans="1:11" x14ac:dyDescent="0.25">
      <c r="A13" s="13">
        <v>40543</v>
      </c>
      <c r="B13" s="3">
        <v>7.5434640000000002</v>
      </c>
      <c r="C13" s="3">
        <v>8.8292619999999999</v>
      </c>
      <c r="D13" s="3">
        <v>-1.285798</v>
      </c>
      <c r="E13" s="3">
        <v>12.467000000000001</v>
      </c>
      <c r="F13" s="3">
        <v>1.828319747842938</v>
      </c>
      <c r="G13" s="3">
        <v>-12.601887</v>
      </c>
      <c r="H13" s="3">
        <v>84.838551999999993</v>
      </c>
      <c r="I13" s="3">
        <v>1.62</v>
      </c>
      <c r="J13" s="3">
        <v>12.926</v>
      </c>
      <c r="K13" t="s">
        <v>45</v>
      </c>
    </row>
    <row r="14" spans="1:11" x14ac:dyDescent="0.25">
      <c r="A14" s="13">
        <v>40574</v>
      </c>
      <c r="B14" s="3">
        <v>7.3603610000000002</v>
      </c>
      <c r="C14" s="3">
        <v>8.2243950000000012</v>
      </c>
      <c r="D14" s="3">
        <v>-0.86403400000000108</v>
      </c>
      <c r="E14" s="3">
        <v>12.157999999999999</v>
      </c>
      <c r="F14" s="3">
        <v>1.736948008006862</v>
      </c>
      <c r="G14" s="3">
        <v>-12.484729</v>
      </c>
      <c r="H14" s="3">
        <v>87.000877000000003</v>
      </c>
      <c r="J14" s="3">
        <v>12.593</v>
      </c>
      <c r="K14" t="s">
        <v>45</v>
      </c>
    </row>
    <row r="15" spans="1:11" x14ac:dyDescent="0.25">
      <c r="A15" s="13">
        <v>40602</v>
      </c>
      <c r="B15" s="3">
        <v>4.9470559999999999</v>
      </c>
      <c r="C15" s="3">
        <v>6.1772830000000001</v>
      </c>
      <c r="D15" s="3">
        <v>-1.230227</v>
      </c>
      <c r="E15" s="3">
        <v>11.964</v>
      </c>
      <c r="F15" s="3">
        <v>1.6925233180992381</v>
      </c>
      <c r="G15" s="3">
        <v>-12.319011</v>
      </c>
      <c r="H15" s="3">
        <v>88.064960999999997</v>
      </c>
      <c r="J15" s="3">
        <v>12.420999999999999</v>
      </c>
      <c r="K15" t="s">
        <v>45</v>
      </c>
    </row>
    <row r="16" spans="1:11" x14ac:dyDescent="0.25">
      <c r="A16" s="13">
        <v>40633</v>
      </c>
      <c r="B16" s="3">
        <v>7.6591209999999998</v>
      </c>
      <c r="C16" s="3">
        <v>9.0565440000000006</v>
      </c>
      <c r="D16" s="3">
        <v>-1.397423000000001</v>
      </c>
      <c r="E16" s="3">
        <v>12.22</v>
      </c>
      <c r="F16" s="3">
        <v>1.685105918768447</v>
      </c>
      <c r="G16" s="3">
        <v>-12.502268000000001</v>
      </c>
      <c r="H16" s="3">
        <v>90.311237000000006</v>
      </c>
      <c r="J16" s="3">
        <v>12.682</v>
      </c>
      <c r="K16" t="s">
        <v>45</v>
      </c>
    </row>
    <row r="17" spans="1:11" x14ac:dyDescent="0.25">
      <c r="A17" s="13">
        <v>40663</v>
      </c>
      <c r="B17" s="3">
        <v>7.5684979999999999</v>
      </c>
      <c r="C17" s="3">
        <v>9.0657580000000006</v>
      </c>
      <c r="D17" s="3">
        <v>-1.4972600000000009</v>
      </c>
      <c r="E17" s="3">
        <v>12.609</v>
      </c>
      <c r="F17" s="3">
        <v>1.696746380613664</v>
      </c>
      <c r="G17" s="3">
        <v>-12.778708999999999</v>
      </c>
      <c r="H17" s="3">
        <v>92.697412999999997</v>
      </c>
      <c r="J17" s="3">
        <v>13.106999999999999</v>
      </c>
      <c r="K17" t="s">
        <v>45</v>
      </c>
    </row>
    <row r="18" spans="1:11" x14ac:dyDescent="0.25">
      <c r="A18" s="13">
        <v>40694</v>
      </c>
      <c r="B18" s="3">
        <v>7.347048</v>
      </c>
      <c r="C18" s="3">
        <v>9.0067810000000001</v>
      </c>
      <c r="D18" s="3">
        <v>-1.6597329999999999</v>
      </c>
      <c r="E18" s="3">
        <v>13.541</v>
      </c>
      <c r="F18" s="3">
        <v>1.782902309715656</v>
      </c>
      <c r="G18" s="3">
        <v>-13.545263</v>
      </c>
      <c r="H18" s="3">
        <v>94.497606000000005</v>
      </c>
      <c r="J18" s="3">
        <v>14.04</v>
      </c>
      <c r="K18" t="s">
        <v>45</v>
      </c>
    </row>
    <row r="19" spans="1:11" x14ac:dyDescent="0.25">
      <c r="A19" s="13">
        <v>40724</v>
      </c>
      <c r="B19" s="3">
        <v>8.5794699999999988</v>
      </c>
      <c r="C19" s="3">
        <v>8.7907390000000003</v>
      </c>
      <c r="D19" s="3">
        <v>-0.21126900000000151</v>
      </c>
      <c r="E19" s="3">
        <v>15.234</v>
      </c>
      <c r="F19" s="3">
        <v>1.9610563280712709</v>
      </c>
      <c r="G19" s="3">
        <v>-13.00489</v>
      </c>
      <c r="H19" s="3">
        <v>96.217532000000006</v>
      </c>
      <c r="J19" s="3">
        <v>15.724</v>
      </c>
      <c r="K19" t="s">
        <v>45</v>
      </c>
    </row>
    <row r="20" spans="1:11" x14ac:dyDescent="0.25">
      <c r="A20" s="13">
        <v>40755</v>
      </c>
      <c r="B20" s="3">
        <v>9.4030959999999997</v>
      </c>
      <c r="C20" s="3">
        <v>8.402139</v>
      </c>
      <c r="D20" s="3">
        <v>1.0009570000000001</v>
      </c>
      <c r="E20" s="3">
        <v>17.042000000000002</v>
      </c>
      <c r="F20" s="3">
        <v>2.1615999949796052</v>
      </c>
      <c r="G20" s="3">
        <v>-10.972460999999999</v>
      </c>
      <c r="H20" s="3">
        <v>97.522205999999997</v>
      </c>
      <c r="J20" s="3">
        <v>17.567</v>
      </c>
      <c r="K20" t="s">
        <v>45</v>
      </c>
    </row>
    <row r="21" spans="1:11" x14ac:dyDescent="0.25">
      <c r="A21" s="13">
        <v>40786</v>
      </c>
      <c r="B21" s="3">
        <v>9.3997949999999992</v>
      </c>
      <c r="C21" s="3">
        <v>10.0754</v>
      </c>
      <c r="D21" s="3">
        <v>-0.6756050000000009</v>
      </c>
      <c r="E21" s="3">
        <v>15.992000000000001</v>
      </c>
      <c r="F21" s="3">
        <v>1.9857581319762301</v>
      </c>
      <c r="G21" s="3">
        <v>-11.163243</v>
      </c>
      <c r="H21" s="3">
        <v>100.175342</v>
      </c>
      <c r="J21" s="3">
        <v>16.577000000000002</v>
      </c>
      <c r="K21" t="s">
        <v>45</v>
      </c>
    </row>
    <row r="22" spans="1:11" x14ac:dyDescent="0.25">
      <c r="A22" s="13">
        <v>40816</v>
      </c>
      <c r="B22" s="3">
        <v>8.2043420000000005</v>
      </c>
      <c r="C22" s="3">
        <v>9.782316999999999</v>
      </c>
      <c r="D22" s="3">
        <v>-1.577974999999999</v>
      </c>
      <c r="E22" s="3">
        <v>15.347</v>
      </c>
      <c r="F22" s="3">
        <v>1.8518781906140569</v>
      </c>
      <c r="G22" s="3">
        <v>-11.858606</v>
      </c>
      <c r="H22" s="3">
        <v>102.86205699999999</v>
      </c>
      <c r="J22" s="3">
        <v>15.874000000000001</v>
      </c>
      <c r="K22" t="s">
        <v>45</v>
      </c>
    </row>
    <row r="23" spans="1:11" x14ac:dyDescent="0.25">
      <c r="A23" s="13">
        <v>40847</v>
      </c>
      <c r="B23" s="3">
        <v>8.4301299999999983</v>
      </c>
      <c r="C23" s="3">
        <v>9.237309999999999</v>
      </c>
      <c r="D23" s="3">
        <v>-0.80718000000000067</v>
      </c>
      <c r="E23" s="3">
        <v>14.815</v>
      </c>
      <c r="F23" s="3">
        <v>1.7628129670646839</v>
      </c>
      <c r="G23" s="3">
        <v>-11.551837000000001</v>
      </c>
      <c r="H23" s="3">
        <v>104.70311</v>
      </c>
      <c r="J23" s="3">
        <v>15.381</v>
      </c>
      <c r="K23" t="s">
        <v>45</v>
      </c>
    </row>
    <row r="24" spans="1:11" x14ac:dyDescent="0.25">
      <c r="A24" s="13">
        <v>40877</v>
      </c>
      <c r="B24" s="3">
        <v>8.9297379999999986</v>
      </c>
      <c r="C24" s="3">
        <v>9.5751029999999986</v>
      </c>
      <c r="D24" s="3">
        <v>-0.64536499999999997</v>
      </c>
      <c r="E24" s="3">
        <v>14.115</v>
      </c>
      <c r="F24" s="3">
        <v>1.657493655966191</v>
      </c>
      <c r="G24" s="3">
        <v>-10.850911999999999</v>
      </c>
      <c r="H24" s="3">
        <v>106.22303100000001</v>
      </c>
      <c r="J24" s="3">
        <v>14.672000000000001</v>
      </c>
      <c r="K24" t="s">
        <v>45</v>
      </c>
    </row>
    <row r="25" spans="1:11" x14ac:dyDescent="0.25">
      <c r="A25" s="13">
        <v>40908</v>
      </c>
      <c r="B25" s="3">
        <v>9.0770189999999999</v>
      </c>
      <c r="C25" s="3">
        <v>9.3560859999999995</v>
      </c>
      <c r="D25" s="3">
        <v>-0.27906699999999951</v>
      </c>
      <c r="E25" s="3">
        <v>13.539</v>
      </c>
      <c r="F25" s="3">
        <v>1.5789435966915371</v>
      </c>
      <c r="G25" s="3">
        <v>-9.8441810000000043</v>
      </c>
      <c r="H25" s="3">
        <v>106.749855</v>
      </c>
      <c r="I25" s="3">
        <v>1.42</v>
      </c>
      <c r="J25" s="3">
        <v>14.045999999999999</v>
      </c>
      <c r="K25" t="s">
        <v>45</v>
      </c>
    </row>
    <row r="26" spans="1:11" x14ac:dyDescent="0.25">
      <c r="A26" s="13">
        <v>40939</v>
      </c>
      <c r="B26" s="3">
        <v>7.0327610000000007</v>
      </c>
      <c r="C26" s="3">
        <v>7.0019080000000002</v>
      </c>
      <c r="D26" s="3">
        <v>3.085300000000046E-2</v>
      </c>
      <c r="E26" s="3">
        <v>14.132999999999999</v>
      </c>
      <c r="F26" s="3">
        <v>1.665463692792944</v>
      </c>
      <c r="G26" s="3">
        <v>-8.9492940000000019</v>
      </c>
      <c r="H26" s="3">
        <v>105.527368</v>
      </c>
      <c r="J26" s="3">
        <v>14.646000000000001</v>
      </c>
      <c r="K26" t="s">
        <v>45</v>
      </c>
    </row>
    <row r="27" spans="1:11" x14ac:dyDescent="0.25">
      <c r="A27" s="13">
        <v>40968</v>
      </c>
      <c r="B27" s="3">
        <v>8.2670370000000002</v>
      </c>
      <c r="C27" s="3">
        <v>8.7621169999999999</v>
      </c>
      <c r="D27" s="3">
        <v>-0.49507999999999969</v>
      </c>
      <c r="E27" s="3">
        <v>14.768000000000001</v>
      </c>
      <c r="F27" s="3">
        <v>1.703008509622254</v>
      </c>
      <c r="G27" s="3">
        <v>-8.2141470000000023</v>
      </c>
      <c r="H27" s="3">
        <v>108.112202</v>
      </c>
      <c r="J27" s="3">
        <v>15.343</v>
      </c>
      <c r="K27" t="s">
        <v>45</v>
      </c>
    </row>
    <row r="28" spans="1:11" x14ac:dyDescent="0.25">
      <c r="A28" s="13">
        <v>40999</v>
      </c>
      <c r="B28" s="3">
        <v>9.5539839999999998</v>
      </c>
      <c r="C28" s="3">
        <v>9.2825710000000008</v>
      </c>
      <c r="D28" s="3">
        <v>0.27141299999999902</v>
      </c>
      <c r="E28" s="3">
        <v>17.798999999999999</v>
      </c>
      <c r="F28" s="3">
        <v>2.0314158910609481</v>
      </c>
      <c r="G28" s="3">
        <v>-6.5453110000000017</v>
      </c>
      <c r="H28" s="3">
        <v>108.338229</v>
      </c>
      <c r="J28" s="3">
        <v>18.34</v>
      </c>
      <c r="K28" t="s">
        <v>45</v>
      </c>
    </row>
    <row r="29" spans="1:11" x14ac:dyDescent="0.25">
      <c r="A29" s="13">
        <v>41029</v>
      </c>
      <c r="B29" s="3">
        <v>8.8927999999999994</v>
      </c>
      <c r="C29" s="3">
        <v>9.0099159999999987</v>
      </c>
      <c r="D29" s="3">
        <v>-0.1171159999999993</v>
      </c>
      <c r="E29" s="3">
        <v>19.882000000000001</v>
      </c>
      <c r="F29" s="3">
        <v>2.2626394447695359</v>
      </c>
      <c r="G29" s="3">
        <v>-5.1651670000000003</v>
      </c>
      <c r="H29" s="3">
        <v>108.282387</v>
      </c>
      <c r="J29" s="3">
        <v>20.417000000000002</v>
      </c>
      <c r="K29" t="s">
        <v>45</v>
      </c>
    </row>
    <row r="30" spans="1:11" x14ac:dyDescent="0.25">
      <c r="A30" s="13">
        <v>41060</v>
      </c>
      <c r="B30" s="3">
        <v>9.6578889999999991</v>
      </c>
      <c r="C30" s="3">
        <v>10.347117000000001</v>
      </c>
      <c r="D30" s="3">
        <v>-0.68922800000000173</v>
      </c>
      <c r="E30" s="3">
        <v>20.326000000000001</v>
      </c>
      <c r="F30" s="3">
        <v>2.2802936577300681</v>
      </c>
      <c r="G30" s="3">
        <v>-4.1946620000000028</v>
      </c>
      <c r="H30" s="3">
        <v>109.62272299999999</v>
      </c>
      <c r="J30" s="3">
        <v>20.831</v>
      </c>
      <c r="K30" t="s">
        <v>45</v>
      </c>
    </row>
    <row r="31" spans="1:11" x14ac:dyDescent="0.25">
      <c r="A31" s="13">
        <v>41090</v>
      </c>
      <c r="B31" s="3">
        <v>10.044178</v>
      </c>
      <c r="C31" s="3">
        <v>9.6297759999999997</v>
      </c>
      <c r="D31" s="3">
        <v>0.41440200000000083</v>
      </c>
      <c r="E31" s="3">
        <v>20.11</v>
      </c>
      <c r="F31" s="3">
        <v>2.2403771223634319</v>
      </c>
      <c r="G31" s="3">
        <v>-3.568991</v>
      </c>
      <c r="H31" s="3">
        <v>110.46176</v>
      </c>
      <c r="J31" s="3">
        <v>20.623000000000001</v>
      </c>
      <c r="K31" t="s">
        <v>45</v>
      </c>
    </row>
    <row r="32" spans="1:11" x14ac:dyDescent="0.25">
      <c r="A32" s="13">
        <v>41121</v>
      </c>
      <c r="B32" s="3">
        <v>10.200196999999999</v>
      </c>
      <c r="C32" s="3">
        <v>9.8593709999999994</v>
      </c>
      <c r="D32" s="3">
        <v>0.34082599999999991</v>
      </c>
      <c r="E32" s="3">
        <v>20.437000000000001</v>
      </c>
      <c r="F32" s="3">
        <v>2.2478758564944901</v>
      </c>
      <c r="G32" s="3">
        <v>-4.2291220000000003</v>
      </c>
      <c r="H32" s="3">
        <v>111.918992</v>
      </c>
      <c r="J32" s="3">
        <v>20.965</v>
      </c>
      <c r="K32" t="s">
        <v>45</v>
      </c>
    </row>
    <row r="33" spans="1:11" x14ac:dyDescent="0.25">
      <c r="A33" s="13">
        <v>41152</v>
      </c>
      <c r="B33" s="3">
        <v>10.322623</v>
      </c>
      <c r="C33" s="3">
        <v>10.399285000000001</v>
      </c>
      <c r="D33" s="3">
        <v>-7.6661999999998898E-2</v>
      </c>
      <c r="E33" s="3">
        <v>21.181999999999999</v>
      </c>
      <c r="F33" s="3">
        <v>2.3223210859073049</v>
      </c>
      <c r="G33" s="3">
        <v>-3.6301789999999978</v>
      </c>
      <c r="H33" s="3">
        <v>112.24287699999999</v>
      </c>
      <c r="J33" s="3">
        <v>21.722000000000001</v>
      </c>
      <c r="K33" t="s">
        <v>45</v>
      </c>
    </row>
    <row r="34" spans="1:11" x14ac:dyDescent="0.25">
      <c r="A34" s="13">
        <v>41182</v>
      </c>
      <c r="B34" s="3">
        <v>9.4134829999999994</v>
      </c>
      <c r="C34" s="3">
        <v>9.328501000000001</v>
      </c>
      <c r="D34" s="3">
        <v>8.4981999999998337E-2</v>
      </c>
      <c r="E34" s="3">
        <v>21.672999999999998</v>
      </c>
      <c r="F34" s="3">
        <v>2.387782826085282</v>
      </c>
      <c r="G34" s="3">
        <v>-1.9672220000000009</v>
      </c>
      <c r="H34" s="3">
        <v>111.789061</v>
      </c>
      <c r="J34" s="3">
        <v>22.244</v>
      </c>
      <c r="K34" t="s">
        <v>45</v>
      </c>
    </row>
    <row r="35" spans="1:11" x14ac:dyDescent="0.25">
      <c r="A35" s="13">
        <v>41213</v>
      </c>
      <c r="B35" s="3">
        <v>10.378197</v>
      </c>
      <c r="C35" s="3">
        <v>10.298724999999999</v>
      </c>
      <c r="D35" s="3">
        <v>7.9471999999999099E-2</v>
      </c>
      <c r="E35" s="3">
        <v>21.786999999999999</v>
      </c>
      <c r="F35" s="3">
        <v>2.3759580774829869</v>
      </c>
      <c r="G35" s="3">
        <v>-1.080570000000002</v>
      </c>
      <c r="H35" s="3">
        <v>112.850476</v>
      </c>
      <c r="J35" s="3">
        <v>22.344000000000001</v>
      </c>
      <c r="K35" t="s">
        <v>45</v>
      </c>
    </row>
    <row r="36" spans="1:11" x14ac:dyDescent="0.25">
      <c r="A36" s="13">
        <v>41243</v>
      </c>
      <c r="B36" s="3">
        <v>10.4306</v>
      </c>
      <c r="C36" s="3">
        <v>10.014374</v>
      </c>
      <c r="D36" s="3">
        <v>0.41622599999999998</v>
      </c>
      <c r="E36" s="3">
        <v>23.565999999999999</v>
      </c>
      <c r="F36" s="3">
        <v>2.555500454952909</v>
      </c>
      <c r="G36" s="3">
        <v>-1.897900000000163E-2</v>
      </c>
      <c r="H36" s="3">
        <v>113.28974700000001</v>
      </c>
      <c r="J36" s="3">
        <v>24.126000000000001</v>
      </c>
      <c r="K36" t="s">
        <v>45</v>
      </c>
    </row>
    <row r="37" spans="1:11" x14ac:dyDescent="0.25">
      <c r="A37" s="13">
        <v>41274</v>
      </c>
      <c r="B37" s="3">
        <v>10.335421</v>
      </c>
      <c r="C37" s="3">
        <v>9.8467710000000004</v>
      </c>
      <c r="D37" s="3">
        <v>0.48864999999999981</v>
      </c>
      <c r="E37" s="3">
        <v>25.573</v>
      </c>
      <c r="F37" s="3">
        <v>2.7540412221321149</v>
      </c>
      <c r="G37" s="3">
        <v>0.74873799999999768</v>
      </c>
      <c r="H37" s="3">
        <v>113.780432</v>
      </c>
      <c r="I37" s="3">
        <v>2.4900000000000002</v>
      </c>
      <c r="J37" s="3">
        <v>26.113</v>
      </c>
      <c r="K37" t="s">
        <v>45</v>
      </c>
    </row>
    <row r="38" spans="1:11" x14ac:dyDescent="0.25">
      <c r="A38" s="13">
        <v>41305</v>
      </c>
      <c r="B38" s="3">
        <v>11.553953999999999</v>
      </c>
      <c r="C38" s="3">
        <v>10.587847999999999</v>
      </c>
      <c r="D38" s="3">
        <v>0.96610599999999991</v>
      </c>
      <c r="E38" s="3">
        <v>28.24</v>
      </c>
      <c r="F38" s="3">
        <v>2.9426827643611579</v>
      </c>
      <c r="G38" s="3">
        <v>1.6839909999999969</v>
      </c>
      <c r="H38" s="3">
        <v>117.366372</v>
      </c>
      <c r="J38" s="3">
        <v>28.780999999999999</v>
      </c>
      <c r="K38" t="s">
        <v>45</v>
      </c>
    </row>
    <row r="39" spans="1:11" x14ac:dyDescent="0.25">
      <c r="A39" s="13">
        <v>41333</v>
      </c>
      <c r="B39" s="3">
        <v>7.2041529999999998</v>
      </c>
      <c r="C39" s="3">
        <v>7.2078190000000006</v>
      </c>
      <c r="D39" s="3">
        <v>-3.6660000000008348E-3</v>
      </c>
      <c r="E39" s="3">
        <v>28.623999999999999</v>
      </c>
      <c r="F39" s="3">
        <v>3.0203068464174119</v>
      </c>
      <c r="G39" s="3">
        <v>2.175404999999996</v>
      </c>
      <c r="H39" s="3">
        <v>115.812074</v>
      </c>
      <c r="J39" s="3">
        <v>29.149000000000001</v>
      </c>
      <c r="K39" t="s">
        <v>45</v>
      </c>
    </row>
    <row r="40" spans="1:11" x14ac:dyDescent="0.25">
      <c r="A40" s="13">
        <v>41364</v>
      </c>
      <c r="B40" s="3">
        <v>10.449807</v>
      </c>
      <c r="C40" s="3">
        <v>10.959244</v>
      </c>
      <c r="D40" s="3">
        <v>-0.50943700000000014</v>
      </c>
      <c r="E40" s="3">
        <v>28.443999999999999</v>
      </c>
      <c r="F40" s="3">
        <v>2.9484015179768659</v>
      </c>
      <c r="G40" s="3">
        <v>1.3945549999999971</v>
      </c>
      <c r="H40" s="3">
        <v>117.488747</v>
      </c>
      <c r="J40" s="3">
        <v>28.867000000000001</v>
      </c>
      <c r="K40" t="s">
        <v>45</v>
      </c>
    </row>
    <row r="41" spans="1:11" x14ac:dyDescent="0.25">
      <c r="A41" s="13">
        <v>41394</v>
      </c>
      <c r="B41" s="3">
        <v>9.8991229999999995</v>
      </c>
      <c r="C41" s="3">
        <v>10.854041</v>
      </c>
      <c r="D41" s="3">
        <v>-0.95491799999999927</v>
      </c>
      <c r="E41" s="3">
        <v>27.556000000000001</v>
      </c>
      <c r="F41" s="3">
        <v>2.817161728915734</v>
      </c>
      <c r="G41" s="3">
        <v>0.55675299999999694</v>
      </c>
      <c r="H41" s="3">
        <v>119.33287199999999</v>
      </c>
      <c r="J41" s="3">
        <v>28.015000000000001</v>
      </c>
      <c r="K41" t="s">
        <v>45</v>
      </c>
    </row>
    <row r="42" spans="1:11" x14ac:dyDescent="0.25">
      <c r="A42" s="13">
        <v>41425</v>
      </c>
      <c r="B42" s="3">
        <v>11.599244000000001</v>
      </c>
      <c r="C42" s="3">
        <v>12.283258999999999</v>
      </c>
      <c r="D42" s="3">
        <v>-0.68401499999999871</v>
      </c>
      <c r="E42" s="3">
        <v>26.646000000000001</v>
      </c>
      <c r="F42" s="3">
        <v>2.6730323708247519</v>
      </c>
      <c r="G42" s="3">
        <v>0.56196599999999997</v>
      </c>
      <c r="H42" s="3">
        <v>121.269014</v>
      </c>
      <c r="J42" s="3">
        <v>27.013000000000002</v>
      </c>
      <c r="K42" t="s">
        <v>45</v>
      </c>
    </row>
    <row r="43" spans="1:11" x14ac:dyDescent="0.25">
      <c r="A43" s="13">
        <v>41455</v>
      </c>
      <c r="B43" s="3">
        <v>10.981102999999999</v>
      </c>
      <c r="C43" s="3">
        <v>10.783847</v>
      </c>
      <c r="D43" s="3">
        <v>0.1972559999999994</v>
      </c>
      <c r="E43" s="3">
        <v>24.934999999999999</v>
      </c>
      <c r="F43" s="3">
        <v>2.4796303736341891</v>
      </c>
      <c r="G43" s="3">
        <v>0.34481999999999863</v>
      </c>
      <c r="H43" s="3">
        <v>122.423085</v>
      </c>
      <c r="J43" s="3">
        <v>25.297000000000001</v>
      </c>
      <c r="K43" t="s">
        <v>45</v>
      </c>
    </row>
    <row r="44" spans="1:11" x14ac:dyDescent="0.25">
      <c r="A44" s="13">
        <v>41486</v>
      </c>
      <c r="B44" s="3">
        <v>11.516273</v>
      </c>
      <c r="C44" s="3">
        <v>11.136588</v>
      </c>
      <c r="D44" s="3">
        <v>0.37968500000000027</v>
      </c>
      <c r="E44" s="3">
        <v>23.22</v>
      </c>
      <c r="F44" s="3">
        <v>2.289016238618399</v>
      </c>
      <c r="G44" s="3">
        <v>0.38367899999999899</v>
      </c>
      <c r="H44" s="3">
        <v>123.70030199999999</v>
      </c>
      <c r="J44" s="3">
        <v>23.596</v>
      </c>
      <c r="K44" t="s">
        <v>45</v>
      </c>
    </row>
    <row r="45" spans="1:11" x14ac:dyDescent="0.25">
      <c r="A45" s="13">
        <v>41517</v>
      </c>
      <c r="B45" s="3">
        <v>11.792092</v>
      </c>
      <c r="C45" s="3">
        <v>11.283906999999999</v>
      </c>
      <c r="D45" s="3">
        <v>0.508185000000001</v>
      </c>
      <c r="E45" s="3">
        <v>25.013000000000002</v>
      </c>
      <c r="F45" s="3">
        <v>2.450665700129175</v>
      </c>
      <c r="G45" s="3">
        <v>0.96852599999999889</v>
      </c>
      <c r="H45" s="3">
        <v>124.584924</v>
      </c>
      <c r="J45" s="3">
        <v>25.443000000000001</v>
      </c>
      <c r="K45" t="s">
        <v>45</v>
      </c>
    </row>
    <row r="46" spans="1:11" x14ac:dyDescent="0.25">
      <c r="A46" s="13">
        <v>41547</v>
      </c>
      <c r="B46" s="3">
        <v>11.046395</v>
      </c>
      <c r="C46" s="3">
        <v>11.356885999999999</v>
      </c>
      <c r="D46" s="3">
        <v>-0.31049100000000068</v>
      </c>
      <c r="E46" s="3">
        <v>24.437000000000001</v>
      </c>
      <c r="F46" s="3">
        <v>2.3559608571639181</v>
      </c>
      <c r="G46" s="3">
        <v>0.57305299999999981</v>
      </c>
      <c r="H46" s="3">
        <v>126.613309</v>
      </c>
      <c r="J46" s="3">
        <v>24.858000000000001</v>
      </c>
      <c r="K46" t="s">
        <v>45</v>
      </c>
    </row>
    <row r="47" spans="1:11" x14ac:dyDescent="0.25">
      <c r="A47" s="13">
        <v>41578</v>
      </c>
      <c r="B47" s="3">
        <v>12.510168999999999</v>
      </c>
      <c r="C47" s="3">
        <v>12.498867000000001</v>
      </c>
      <c r="D47" s="3">
        <v>1.130199999999881E-2</v>
      </c>
      <c r="E47" s="3">
        <v>25.282</v>
      </c>
      <c r="F47" s="3">
        <v>2.3959299095247442</v>
      </c>
      <c r="G47" s="3">
        <v>0.50488299999999953</v>
      </c>
      <c r="H47" s="3">
        <v>128.81345099999999</v>
      </c>
      <c r="J47" s="3">
        <v>25.719000000000001</v>
      </c>
      <c r="K47" t="s">
        <v>45</v>
      </c>
    </row>
    <row r="48" spans="1:11" x14ac:dyDescent="0.25">
      <c r="A48" s="13">
        <v>41608</v>
      </c>
      <c r="B48" s="3">
        <v>11.939169</v>
      </c>
      <c r="C48" s="3">
        <v>10.96411</v>
      </c>
      <c r="D48" s="3">
        <v>0.9750589999999999</v>
      </c>
      <c r="E48" s="3">
        <v>25.75</v>
      </c>
      <c r="F48" s="3">
        <v>2.416679238927756</v>
      </c>
      <c r="G48" s="3">
        <v>1.063715999999999</v>
      </c>
      <c r="H48" s="3">
        <v>129.76318699999999</v>
      </c>
      <c r="J48" s="3">
        <v>26.132999999999999</v>
      </c>
      <c r="K48" t="s">
        <v>45</v>
      </c>
    </row>
    <row r="49" spans="1:11" x14ac:dyDescent="0.25">
      <c r="A49" s="13">
        <v>41639</v>
      </c>
      <c r="B49" s="3">
        <v>11.541372000000001</v>
      </c>
      <c r="C49" s="3">
        <v>12.116141000000001</v>
      </c>
      <c r="D49" s="3">
        <v>-0.57476899999999986</v>
      </c>
      <c r="E49" s="3">
        <v>25.893000000000001</v>
      </c>
      <c r="F49" s="3">
        <v>2.3891380063176388</v>
      </c>
      <c r="G49" s="3">
        <v>2.9699999999976972E-4</v>
      </c>
      <c r="H49" s="3">
        <v>132.032557</v>
      </c>
      <c r="I49" s="3">
        <v>2.15</v>
      </c>
      <c r="J49" s="3">
        <v>26.286999999999999</v>
      </c>
      <c r="K49" t="s">
        <v>45</v>
      </c>
    </row>
    <row r="50" spans="1:11" x14ac:dyDescent="0.25">
      <c r="A50" s="13">
        <v>41670</v>
      </c>
      <c r="B50" s="3">
        <v>11.756341000000001</v>
      </c>
      <c r="C50" s="3">
        <v>9.8924730000000007</v>
      </c>
      <c r="D50" s="3">
        <v>1.8638680000000001</v>
      </c>
      <c r="E50" s="3">
        <v>29.094999999999999</v>
      </c>
      <c r="F50" s="3">
        <v>2.6958093253439839</v>
      </c>
      <c r="G50" s="3">
        <v>0.89805899999999994</v>
      </c>
      <c r="H50" s="3">
        <v>131.33718200000001</v>
      </c>
      <c r="J50" s="3">
        <v>29.504999999999999</v>
      </c>
      <c r="K50" t="s">
        <v>45</v>
      </c>
    </row>
    <row r="51" spans="1:11" x14ac:dyDescent="0.25">
      <c r="A51" s="13">
        <v>41698</v>
      </c>
      <c r="B51" s="3">
        <v>9.4440879999999989</v>
      </c>
      <c r="C51" s="3">
        <v>9.9558320000000009</v>
      </c>
      <c r="D51" s="3">
        <v>-0.51174400000000198</v>
      </c>
      <c r="E51" s="3">
        <v>30.003</v>
      </c>
      <c r="F51" s="3">
        <v>2.7237906466854902</v>
      </c>
      <c r="G51" s="3">
        <v>0.3899809999999988</v>
      </c>
      <c r="H51" s="3">
        <v>134.085195</v>
      </c>
      <c r="J51" s="3">
        <v>30.434999999999999</v>
      </c>
      <c r="K51" t="s">
        <v>45</v>
      </c>
    </row>
    <row r="52" spans="1:11" x14ac:dyDescent="0.25">
      <c r="A52" s="13">
        <v>41729</v>
      </c>
      <c r="B52" s="3">
        <v>12.183468</v>
      </c>
      <c r="C52" s="3">
        <v>12.411311</v>
      </c>
      <c r="D52" s="3">
        <v>-0.22784299999999821</v>
      </c>
      <c r="E52" s="3">
        <v>33.753999999999998</v>
      </c>
      <c r="F52" s="3">
        <v>3.0257361993929019</v>
      </c>
      <c r="G52" s="3">
        <v>0.6715750000000007</v>
      </c>
      <c r="H52" s="3">
        <v>135.537262</v>
      </c>
      <c r="J52" s="3">
        <v>34.174999999999997</v>
      </c>
      <c r="K52" t="s">
        <v>45</v>
      </c>
    </row>
    <row r="53" spans="1:11" x14ac:dyDescent="0.25">
      <c r="A53" s="13">
        <v>41759</v>
      </c>
      <c r="B53" s="3">
        <v>13.123730999999999</v>
      </c>
      <c r="C53" s="3">
        <v>12.128798</v>
      </c>
      <c r="D53" s="3">
        <v>0.99493299999999785</v>
      </c>
      <c r="E53" s="3">
        <v>35.896999999999998</v>
      </c>
      <c r="F53" s="3">
        <v>3.1857727353617959</v>
      </c>
      <c r="G53" s="3">
        <v>2.6214259999999978</v>
      </c>
      <c r="H53" s="3">
        <v>136.81201899999999</v>
      </c>
      <c r="J53" s="3">
        <v>36.320999999999998</v>
      </c>
      <c r="K53" t="s">
        <v>45</v>
      </c>
    </row>
    <row r="54" spans="1:11" x14ac:dyDescent="0.25">
      <c r="A54" s="13">
        <v>41790</v>
      </c>
      <c r="B54" s="3">
        <v>12.386322</v>
      </c>
      <c r="C54" s="3">
        <v>12.747489</v>
      </c>
      <c r="D54" s="3">
        <v>-0.36116700000000002</v>
      </c>
      <c r="E54" s="3">
        <v>35.682000000000002</v>
      </c>
      <c r="F54" s="3">
        <v>3.154719065786828</v>
      </c>
      <c r="G54" s="3">
        <v>2.9442739999999969</v>
      </c>
      <c r="H54" s="3">
        <v>137.27624900000001</v>
      </c>
      <c r="J54" s="3">
        <v>36.088999999999999</v>
      </c>
      <c r="K54" t="s">
        <v>45</v>
      </c>
    </row>
    <row r="55" spans="1:11" x14ac:dyDescent="0.25">
      <c r="A55" s="13">
        <v>41820</v>
      </c>
      <c r="B55" s="3">
        <v>12.267766</v>
      </c>
      <c r="C55" s="3">
        <v>12.109453</v>
      </c>
      <c r="D55" s="3">
        <v>0.1583129999999997</v>
      </c>
      <c r="E55" s="3">
        <v>35.798999999999999</v>
      </c>
      <c r="F55" s="3">
        <v>3.1365813971248802</v>
      </c>
      <c r="G55" s="3">
        <v>2.9053309999999972</v>
      </c>
      <c r="H55" s="3">
        <v>138.601855</v>
      </c>
      <c r="J55" s="3">
        <v>36.228000000000002</v>
      </c>
      <c r="K55" t="s">
        <v>45</v>
      </c>
    </row>
    <row r="56" spans="1:11" x14ac:dyDescent="0.25">
      <c r="A56" s="13">
        <v>41851</v>
      </c>
      <c r="B56" s="3">
        <v>13.086912999999999</v>
      </c>
      <c r="C56" s="3">
        <v>12.887152</v>
      </c>
      <c r="D56" s="3">
        <v>0.19976100000000049</v>
      </c>
      <c r="E56" s="3">
        <v>36.079000000000001</v>
      </c>
      <c r="F56" s="3">
        <v>3.1208867158890929</v>
      </c>
      <c r="G56" s="3">
        <v>2.725406999999997</v>
      </c>
      <c r="H56" s="3">
        <v>140.352419</v>
      </c>
      <c r="J56" s="3">
        <v>36.502000000000002</v>
      </c>
      <c r="K56" t="s">
        <v>45</v>
      </c>
    </row>
    <row r="57" spans="1:11" x14ac:dyDescent="0.25">
      <c r="A57" s="13">
        <v>41882</v>
      </c>
      <c r="B57" s="3">
        <v>13.241463</v>
      </c>
      <c r="C57" s="3">
        <v>12.304554</v>
      </c>
      <c r="D57" s="3">
        <v>0.93690899999999999</v>
      </c>
      <c r="E57" s="3">
        <v>36.972999999999999</v>
      </c>
      <c r="F57" s="3">
        <v>3.1739001826557258</v>
      </c>
      <c r="G57" s="3">
        <v>3.154130999999996</v>
      </c>
      <c r="H57" s="3">
        <v>141.37306599999999</v>
      </c>
      <c r="J57" s="3">
        <v>37.392000000000003</v>
      </c>
      <c r="K57" t="s">
        <v>45</v>
      </c>
    </row>
    <row r="58" spans="1:11" x14ac:dyDescent="0.25">
      <c r="A58" s="13">
        <v>41912</v>
      </c>
      <c r="B58" s="3">
        <v>12.59224</v>
      </c>
      <c r="C58" s="3">
        <v>13.017170999999999</v>
      </c>
      <c r="D58" s="3">
        <v>-0.42493100000000078</v>
      </c>
      <c r="E58" s="3">
        <v>36.822000000000003</v>
      </c>
      <c r="F58" s="3">
        <v>3.1224605791414342</v>
      </c>
      <c r="G58" s="3">
        <v>3.0396909999999959</v>
      </c>
      <c r="H58" s="3">
        <v>143.03335100000001</v>
      </c>
      <c r="J58" s="3">
        <v>37.218000000000004</v>
      </c>
      <c r="K58" t="s">
        <v>45</v>
      </c>
    </row>
    <row r="59" spans="1:11" x14ac:dyDescent="0.25">
      <c r="A59" s="13">
        <v>41943</v>
      </c>
      <c r="B59" s="3">
        <v>14.021871000000001</v>
      </c>
      <c r="C59" s="3">
        <v>13.936087000000001</v>
      </c>
      <c r="D59" s="3">
        <v>8.5784000000000304E-2</v>
      </c>
      <c r="E59" s="3">
        <v>36.728999999999999</v>
      </c>
      <c r="F59" s="3">
        <v>3.0835899444185069</v>
      </c>
      <c r="G59" s="3">
        <v>3.114172999999997</v>
      </c>
      <c r="H59" s="3">
        <v>144.47057100000001</v>
      </c>
      <c r="J59" s="3">
        <v>37.124000000000002</v>
      </c>
      <c r="K59" t="s">
        <v>45</v>
      </c>
    </row>
    <row r="60" spans="1:11" x14ac:dyDescent="0.25">
      <c r="A60" s="13">
        <v>41973</v>
      </c>
      <c r="B60" s="3">
        <v>13.25543</v>
      </c>
      <c r="C60" s="3">
        <v>12.673816</v>
      </c>
      <c r="D60" s="3">
        <v>0.58161400000000008</v>
      </c>
      <c r="E60" s="3">
        <v>36.442999999999998</v>
      </c>
      <c r="F60" s="3">
        <v>3.0236363555392631</v>
      </c>
      <c r="G60" s="3">
        <v>2.720727999999998</v>
      </c>
      <c r="H60" s="3">
        <v>146.18027699999999</v>
      </c>
      <c r="J60" s="3">
        <v>36.832999999999998</v>
      </c>
      <c r="K60" t="s">
        <v>45</v>
      </c>
    </row>
    <row r="61" spans="1:11" x14ac:dyDescent="0.25">
      <c r="A61" s="13">
        <v>42004</v>
      </c>
      <c r="B61" s="3">
        <v>12.857691000000001</v>
      </c>
      <c r="C61" s="3">
        <v>13.784945</v>
      </c>
      <c r="D61" s="3">
        <v>-0.92725399999999958</v>
      </c>
      <c r="E61" s="3">
        <v>34.189</v>
      </c>
      <c r="F61" s="3">
        <v>2.8062399657391168</v>
      </c>
      <c r="G61" s="3">
        <v>2.3682429999999979</v>
      </c>
      <c r="H61" s="3">
        <v>147.84908100000001</v>
      </c>
      <c r="I61" s="3">
        <v>2.54</v>
      </c>
      <c r="J61" s="3">
        <v>34.575000000000003</v>
      </c>
      <c r="K61" t="s">
        <v>45</v>
      </c>
    </row>
    <row r="62" spans="1:11" x14ac:dyDescent="0.25">
      <c r="A62" s="13">
        <v>42035</v>
      </c>
      <c r="B62" s="3">
        <v>13.508963</v>
      </c>
      <c r="C62" s="3">
        <v>14.122534</v>
      </c>
      <c r="D62" s="3">
        <v>-0.61357100000000031</v>
      </c>
      <c r="E62" s="3">
        <v>34.695999999999998</v>
      </c>
      <c r="F62" s="3">
        <v>2.770636357219848</v>
      </c>
      <c r="G62" s="3">
        <v>-0.1091960000000025</v>
      </c>
      <c r="H62" s="3">
        <v>152.07914199999999</v>
      </c>
      <c r="J62" s="3">
        <v>35.113</v>
      </c>
      <c r="K62" t="s">
        <v>45</v>
      </c>
    </row>
    <row r="63" spans="1:11" x14ac:dyDescent="0.25">
      <c r="A63" s="13">
        <v>42063</v>
      </c>
      <c r="B63" s="3">
        <v>9.5121859999999998</v>
      </c>
      <c r="C63" s="3">
        <v>10.295273</v>
      </c>
      <c r="D63" s="3">
        <v>-0.78308700000000009</v>
      </c>
      <c r="E63" s="3">
        <v>37.307000000000002</v>
      </c>
      <c r="F63" s="3">
        <v>2.9681420145468751</v>
      </c>
      <c r="G63" s="3">
        <v>-0.38053900000000063</v>
      </c>
      <c r="H63" s="3">
        <v>152.41858300000001</v>
      </c>
      <c r="J63" s="3">
        <v>37.700000000000003</v>
      </c>
      <c r="K63" t="s">
        <v>45</v>
      </c>
    </row>
    <row r="64" spans="1:11" x14ac:dyDescent="0.25">
      <c r="A64" s="13">
        <v>42094</v>
      </c>
      <c r="B64" s="3">
        <v>13.369676999999999</v>
      </c>
      <c r="C64" s="3">
        <v>14.581096000000001</v>
      </c>
      <c r="D64" s="3">
        <v>-1.2114189999999989</v>
      </c>
      <c r="E64" s="3">
        <v>36.911000000000001</v>
      </c>
      <c r="F64" s="3">
        <v>2.8951984278661902</v>
      </c>
      <c r="G64" s="3">
        <v>-1.364115000000002</v>
      </c>
      <c r="H64" s="3">
        <v>154.588368</v>
      </c>
      <c r="J64" s="3">
        <v>37.296999999999997</v>
      </c>
      <c r="K64" t="s">
        <v>45</v>
      </c>
    </row>
    <row r="65" spans="1:11" x14ac:dyDescent="0.25">
      <c r="A65" s="13">
        <v>42124</v>
      </c>
      <c r="B65" s="3">
        <v>13.478531</v>
      </c>
      <c r="C65" s="3">
        <v>13.045325</v>
      </c>
      <c r="D65" s="3">
        <v>0.4332060000000002</v>
      </c>
      <c r="E65" s="3">
        <v>36.463999999999999</v>
      </c>
      <c r="F65" s="3">
        <v>2.8434860523200891</v>
      </c>
      <c r="G65" s="3">
        <v>-1.9258419999999989</v>
      </c>
      <c r="H65" s="3">
        <v>155.504895</v>
      </c>
      <c r="J65" s="3">
        <v>36.847999999999999</v>
      </c>
      <c r="K65" t="s">
        <v>45</v>
      </c>
    </row>
    <row r="66" spans="1:11" x14ac:dyDescent="0.25">
      <c r="A66" s="13">
        <v>42155</v>
      </c>
      <c r="B66" s="3">
        <v>13.649043000000001</v>
      </c>
      <c r="C66" s="3">
        <v>14.873006</v>
      </c>
      <c r="D66" s="3">
        <v>-1.223963000000001</v>
      </c>
      <c r="E66" s="3">
        <v>37.222000000000001</v>
      </c>
      <c r="F66" s="3">
        <v>2.8630769549723691</v>
      </c>
      <c r="G66" s="3">
        <v>-2.7886380000000011</v>
      </c>
      <c r="H66" s="3">
        <v>157.63041200000001</v>
      </c>
      <c r="J66" s="3">
        <v>37.609000000000002</v>
      </c>
      <c r="K66" t="s">
        <v>45</v>
      </c>
    </row>
    <row r="67" spans="1:11" x14ac:dyDescent="0.25">
      <c r="A67" s="13">
        <v>42185</v>
      </c>
      <c r="B67" s="3">
        <v>14.173601</v>
      </c>
      <c r="C67" s="3">
        <v>14.20058</v>
      </c>
      <c r="D67" s="3">
        <v>-2.6978999999998979E-2</v>
      </c>
      <c r="E67" s="3">
        <v>37.334000000000003</v>
      </c>
      <c r="F67" s="3">
        <v>2.8314528073762171</v>
      </c>
      <c r="G67" s="3">
        <v>-2.9739299999999989</v>
      </c>
      <c r="H67" s="3">
        <v>159.72153900000001</v>
      </c>
      <c r="J67" s="3">
        <v>37.686999999999998</v>
      </c>
      <c r="K67" t="s">
        <v>45</v>
      </c>
    </row>
    <row r="68" spans="1:11" x14ac:dyDescent="0.25">
      <c r="A68" s="13">
        <v>42216</v>
      </c>
      <c r="B68" s="3">
        <v>14.296897</v>
      </c>
      <c r="C68" s="3">
        <v>14.786141000000001</v>
      </c>
      <c r="D68" s="3">
        <v>-0.48924399999999763</v>
      </c>
      <c r="E68" s="3">
        <v>36.908999999999999</v>
      </c>
      <c r="F68" s="3">
        <v>2.767816721895624</v>
      </c>
      <c r="G68" s="3">
        <v>-3.6629349999999969</v>
      </c>
      <c r="H68" s="3">
        <v>161.62052800000001</v>
      </c>
      <c r="J68" s="3">
        <v>37.277999999999999</v>
      </c>
      <c r="K68" t="s">
        <v>45</v>
      </c>
    </row>
    <row r="69" spans="1:11" x14ac:dyDescent="0.25">
      <c r="A69" s="13">
        <v>42247</v>
      </c>
      <c r="B69" s="3">
        <v>14.395559</v>
      </c>
      <c r="C69" s="3">
        <v>14.128244</v>
      </c>
      <c r="D69" s="3">
        <v>0.26731499999999819</v>
      </c>
      <c r="E69" s="3">
        <v>32.914000000000001</v>
      </c>
      <c r="F69" s="3">
        <v>2.4434758530277279</v>
      </c>
      <c r="G69" s="3">
        <v>-4.3325289999999992</v>
      </c>
      <c r="H69" s="3">
        <v>163.44421800000001</v>
      </c>
      <c r="J69" s="3">
        <v>33.280999999999999</v>
      </c>
      <c r="K69" t="s">
        <v>45</v>
      </c>
    </row>
    <row r="70" spans="1:11" x14ac:dyDescent="0.25">
      <c r="A70" s="13">
        <v>42277</v>
      </c>
      <c r="B70" s="3">
        <v>13.766063000000001</v>
      </c>
      <c r="C70" s="3">
        <v>13.757348</v>
      </c>
      <c r="D70" s="3">
        <v>8.7150000000004724E-3</v>
      </c>
      <c r="E70" s="3">
        <v>30.652000000000001</v>
      </c>
      <c r="F70" s="3">
        <v>2.2675723840868072</v>
      </c>
      <c r="G70" s="3">
        <v>-3.8988829999999979</v>
      </c>
      <c r="H70" s="3">
        <v>164.18439499999999</v>
      </c>
      <c r="J70" s="3">
        <v>31.024999999999999</v>
      </c>
      <c r="K70" t="s">
        <v>45</v>
      </c>
    </row>
    <row r="71" spans="1:11" x14ac:dyDescent="0.25">
      <c r="A71" s="13">
        <v>42308</v>
      </c>
      <c r="B71" s="3">
        <v>14.307948</v>
      </c>
      <c r="C71" s="3">
        <v>13.848305</v>
      </c>
      <c r="D71" s="3">
        <v>0.4596429999999998</v>
      </c>
      <c r="E71" s="3">
        <v>31.001999999999999</v>
      </c>
      <c r="F71" s="3">
        <v>2.292186250059896</v>
      </c>
      <c r="G71" s="3">
        <v>-3.5250239999999979</v>
      </c>
      <c r="H71" s="3">
        <v>164.09661299999999</v>
      </c>
      <c r="J71" s="3">
        <v>31.344999999999999</v>
      </c>
      <c r="K71" t="s">
        <v>45</v>
      </c>
    </row>
    <row r="72" spans="1:11" x14ac:dyDescent="0.25">
      <c r="A72" s="13">
        <v>42338</v>
      </c>
      <c r="B72" s="3">
        <v>13.873861</v>
      </c>
      <c r="C72" s="3">
        <v>13.689135</v>
      </c>
      <c r="D72" s="3">
        <v>0.18472600000000131</v>
      </c>
      <c r="E72" s="3">
        <v>30.29</v>
      </c>
      <c r="F72" s="3">
        <v>2.227943162823629</v>
      </c>
      <c r="G72" s="3">
        <v>-3.9219119999999972</v>
      </c>
      <c r="H72" s="3">
        <v>165.111932</v>
      </c>
      <c r="J72" s="3">
        <v>30.655000000000001</v>
      </c>
      <c r="K72" t="s">
        <v>45</v>
      </c>
    </row>
    <row r="73" spans="1:11" x14ac:dyDescent="0.25">
      <c r="A73" s="13">
        <v>42369</v>
      </c>
      <c r="B73" s="3">
        <v>13.684583999999999</v>
      </c>
      <c r="C73" s="3">
        <v>14.243434000000001</v>
      </c>
      <c r="D73" s="3">
        <v>-0.55884999999999785</v>
      </c>
      <c r="E73" s="3">
        <v>28.25</v>
      </c>
      <c r="F73" s="3">
        <v>2.073993639238255</v>
      </c>
      <c r="G73" s="3">
        <v>-3.553507999999995</v>
      </c>
      <c r="H73" s="3">
        <v>165.57042100000001</v>
      </c>
      <c r="I73" s="3">
        <v>1.85</v>
      </c>
      <c r="J73" s="3">
        <v>28.616</v>
      </c>
      <c r="K73" t="s">
        <v>45</v>
      </c>
    </row>
    <row r="74" spans="1:11" x14ac:dyDescent="0.25">
      <c r="A74" s="13">
        <v>42400</v>
      </c>
      <c r="B74" s="3">
        <v>13.603275999999999</v>
      </c>
      <c r="C74" s="3">
        <v>12.773558</v>
      </c>
      <c r="D74" s="3">
        <v>0.82971799999999796</v>
      </c>
      <c r="E74" s="3">
        <v>27.494</v>
      </c>
      <c r="F74" s="3">
        <v>2.0355684971594301</v>
      </c>
      <c r="G74" s="3">
        <v>-2.1102189999999972</v>
      </c>
      <c r="H74" s="3">
        <v>164.22144499999999</v>
      </c>
      <c r="J74" s="3">
        <v>27.856999999999999</v>
      </c>
      <c r="K74" t="s">
        <v>45</v>
      </c>
    </row>
    <row r="75" spans="1:11" x14ac:dyDescent="0.25">
      <c r="A75" s="13">
        <v>42429</v>
      </c>
      <c r="B75" s="3">
        <v>10.095879</v>
      </c>
      <c r="C75" s="3">
        <v>10.260714</v>
      </c>
      <c r="D75" s="3">
        <v>-0.16483500000000009</v>
      </c>
      <c r="E75" s="3">
        <v>28.835999999999999</v>
      </c>
      <c r="F75" s="3">
        <v>2.1366383670861508</v>
      </c>
      <c r="G75" s="3">
        <v>-1.4919669999999969</v>
      </c>
      <c r="H75" s="3">
        <v>164.18688599999999</v>
      </c>
      <c r="J75" s="3">
        <v>29.234000000000002</v>
      </c>
      <c r="K75" t="s">
        <v>45</v>
      </c>
    </row>
    <row r="76" spans="1:11" x14ac:dyDescent="0.25">
      <c r="A76" s="13">
        <v>42460</v>
      </c>
      <c r="B76" s="3">
        <v>15.084738</v>
      </c>
      <c r="C76" s="3">
        <v>14.429045</v>
      </c>
      <c r="D76" s="3">
        <v>0.65569299999999942</v>
      </c>
      <c r="E76" s="3">
        <v>31.617999999999999</v>
      </c>
      <c r="F76" s="3">
        <v>2.3422098117146879</v>
      </c>
      <c r="G76" s="3">
        <v>0.37514500000000162</v>
      </c>
      <c r="H76" s="3">
        <v>164.03483499999999</v>
      </c>
      <c r="J76" s="3">
        <v>32.017000000000003</v>
      </c>
      <c r="K76" t="s">
        <v>45</v>
      </c>
    </row>
    <row r="77" spans="1:11" x14ac:dyDescent="0.25">
      <c r="A77" s="13">
        <v>42490</v>
      </c>
      <c r="B77" s="3">
        <v>14.397085000000001</v>
      </c>
      <c r="C77" s="3">
        <v>14.131878</v>
      </c>
      <c r="D77" s="3">
        <v>0.26520699999999842</v>
      </c>
      <c r="E77" s="3">
        <v>33.832999999999998</v>
      </c>
      <c r="F77" s="3">
        <v>2.4887145449625221</v>
      </c>
      <c r="G77" s="3">
        <v>0.2071459999999998</v>
      </c>
      <c r="H77" s="3">
        <v>165.121388</v>
      </c>
      <c r="J77" s="3">
        <v>34.244999999999997</v>
      </c>
      <c r="K77" t="s">
        <v>45</v>
      </c>
    </row>
    <row r="78" spans="1:11" x14ac:dyDescent="0.25">
      <c r="A78" s="13">
        <v>42521</v>
      </c>
      <c r="B78" s="3">
        <v>14.340885999999999</v>
      </c>
      <c r="C78" s="3">
        <v>14.560195</v>
      </c>
      <c r="D78" s="3">
        <v>-0.21930899999999909</v>
      </c>
      <c r="E78" s="3">
        <v>34.798000000000002</v>
      </c>
      <c r="F78" s="3">
        <v>2.562390912458397</v>
      </c>
      <c r="G78" s="3">
        <v>1.211800000000002</v>
      </c>
      <c r="H78" s="3">
        <v>164.80857700000001</v>
      </c>
      <c r="J78" s="3">
        <v>35.192</v>
      </c>
      <c r="K78" t="s">
        <v>45</v>
      </c>
    </row>
    <row r="79" spans="1:11" x14ac:dyDescent="0.25">
      <c r="A79" s="13">
        <v>42551</v>
      </c>
      <c r="B79" s="3">
        <v>14.722075999999999</v>
      </c>
      <c r="C79" s="3">
        <v>14.800421</v>
      </c>
      <c r="D79" s="3">
        <v>-7.8345000000000553E-2</v>
      </c>
      <c r="E79" s="3">
        <v>34.988</v>
      </c>
      <c r="F79" s="3">
        <v>2.5693492818485208</v>
      </c>
      <c r="G79" s="3">
        <v>1.160434</v>
      </c>
      <c r="H79" s="3">
        <v>165.40841800000001</v>
      </c>
      <c r="J79" s="3">
        <v>35.415999999999997</v>
      </c>
      <c r="K79" t="s">
        <v>45</v>
      </c>
    </row>
    <row r="80" spans="1:11" x14ac:dyDescent="0.25">
      <c r="A80" s="13">
        <v>42582</v>
      </c>
      <c r="B80" s="3">
        <v>14.84482</v>
      </c>
      <c r="C80" s="3">
        <v>14.409781000000001</v>
      </c>
      <c r="D80" s="3">
        <v>0.43503899999999968</v>
      </c>
      <c r="E80" s="3">
        <v>35.183999999999997</v>
      </c>
      <c r="F80" s="3">
        <v>2.5899695197402188</v>
      </c>
      <c r="G80" s="3">
        <v>2.0847169999999982</v>
      </c>
      <c r="H80" s="3">
        <v>165.03205800000001</v>
      </c>
      <c r="J80" s="3">
        <v>35.619</v>
      </c>
      <c r="K80" t="s">
        <v>45</v>
      </c>
    </row>
    <row r="81" spans="1:11" x14ac:dyDescent="0.25">
      <c r="A81" s="13">
        <v>42613</v>
      </c>
      <c r="B81" s="3">
        <v>16.099488999999998</v>
      </c>
      <c r="C81" s="3">
        <v>15.550616</v>
      </c>
      <c r="D81" s="3">
        <v>0.54887299999999861</v>
      </c>
      <c r="E81" s="3">
        <v>37.081000000000003</v>
      </c>
      <c r="F81" s="3">
        <v>2.7039472605204922</v>
      </c>
      <c r="G81" s="3">
        <v>2.3662749999999981</v>
      </c>
      <c r="H81" s="3">
        <v>166.45443</v>
      </c>
      <c r="J81" s="3">
        <v>37.506999999999998</v>
      </c>
      <c r="K81" t="s">
        <v>45</v>
      </c>
    </row>
    <row r="82" spans="1:11" x14ac:dyDescent="0.25">
      <c r="A82" s="13">
        <v>42643</v>
      </c>
      <c r="B82" s="3">
        <v>15.368876</v>
      </c>
      <c r="C82" s="3">
        <v>14.611537</v>
      </c>
      <c r="D82" s="3">
        <v>0.75733899999999998</v>
      </c>
      <c r="E82" s="3">
        <v>37.624000000000002</v>
      </c>
      <c r="F82" s="3">
        <v>2.7294469509667039</v>
      </c>
      <c r="G82" s="3">
        <v>3.1148989999999981</v>
      </c>
      <c r="H82" s="3">
        <v>167.30861899999999</v>
      </c>
      <c r="J82" s="3">
        <v>38.055</v>
      </c>
      <c r="K82" t="s">
        <v>45</v>
      </c>
    </row>
    <row r="83" spans="1:11" x14ac:dyDescent="0.25">
      <c r="A83" s="13">
        <v>42674</v>
      </c>
      <c r="B83" s="3">
        <v>15.369023</v>
      </c>
      <c r="C83" s="3">
        <v>15.863467</v>
      </c>
      <c r="D83" s="3">
        <v>-0.49444400000000138</v>
      </c>
      <c r="E83" s="3">
        <v>37.612000000000002</v>
      </c>
      <c r="F83" s="3">
        <v>2.6949787992272629</v>
      </c>
      <c r="G83" s="3">
        <v>2.160811999999996</v>
      </c>
      <c r="H83" s="3">
        <v>169.323781</v>
      </c>
      <c r="J83" s="3">
        <v>38.027000000000001</v>
      </c>
      <c r="K83" t="s">
        <v>45</v>
      </c>
    </row>
    <row r="84" spans="1:11" x14ac:dyDescent="0.25">
      <c r="A84" s="13">
        <v>42704</v>
      </c>
      <c r="B84" s="3">
        <v>16.102512999999998</v>
      </c>
      <c r="C84" s="3">
        <v>16.414656000000001</v>
      </c>
      <c r="D84" s="3">
        <v>-0.31214299999999889</v>
      </c>
      <c r="E84" s="3">
        <v>37.598999999999997</v>
      </c>
      <c r="F84" s="3">
        <v>2.6494266160986801</v>
      </c>
      <c r="G84" s="3">
        <v>1.663942999999996</v>
      </c>
      <c r="H84" s="3">
        <v>172.04930200000001</v>
      </c>
      <c r="J84" s="3">
        <v>37.985999999999997</v>
      </c>
      <c r="K84" t="s">
        <v>45</v>
      </c>
    </row>
    <row r="85" spans="1:11" x14ac:dyDescent="0.25">
      <c r="A85" s="13">
        <v>42735</v>
      </c>
      <c r="B85" s="3">
        <v>16.552156</v>
      </c>
      <c r="C85" s="3">
        <v>16.997931999999999</v>
      </c>
      <c r="D85" s="3">
        <v>-0.44577600000000223</v>
      </c>
      <c r="E85" s="3">
        <v>36.527000000000001</v>
      </c>
      <c r="F85" s="3">
        <v>2.5335376004411798</v>
      </c>
      <c r="G85" s="3">
        <v>1.7770169999999921</v>
      </c>
      <c r="H85" s="3">
        <v>174.8038</v>
      </c>
      <c r="I85" s="3">
        <v>2.2200000000000002</v>
      </c>
      <c r="J85" s="3">
        <v>36.905999999999999</v>
      </c>
      <c r="K85" t="s">
        <v>45</v>
      </c>
    </row>
    <row r="86" spans="1:11" x14ac:dyDescent="0.25">
      <c r="A86" s="13">
        <v>42766</v>
      </c>
      <c r="B86" s="3">
        <v>14.42047</v>
      </c>
      <c r="C86" s="3">
        <v>13.176626000000001</v>
      </c>
      <c r="D86" s="3">
        <v>1.2438439999999991</v>
      </c>
      <c r="E86" s="3">
        <v>37.936999999999998</v>
      </c>
      <c r="F86" s="3">
        <v>2.6252395539654301</v>
      </c>
      <c r="G86" s="3">
        <v>2.1911429999999932</v>
      </c>
      <c r="H86" s="3">
        <v>175.20686799999999</v>
      </c>
      <c r="J86" s="3">
        <v>38.33</v>
      </c>
      <c r="K86" t="s">
        <v>45</v>
      </c>
    </row>
    <row r="87" spans="1:11" x14ac:dyDescent="0.25">
      <c r="A87" s="13">
        <v>42794</v>
      </c>
      <c r="B87" s="3">
        <v>13.189261999999999</v>
      </c>
      <c r="C87" s="3">
        <v>15.26933</v>
      </c>
      <c r="D87" s="3">
        <v>-2.0800679999999989</v>
      </c>
      <c r="E87" s="3">
        <v>37.682000000000002</v>
      </c>
      <c r="F87" s="3">
        <v>2.5362970475944229</v>
      </c>
      <c r="G87" s="3">
        <v>0.27590999999999433</v>
      </c>
      <c r="H87" s="3">
        <v>180.215484</v>
      </c>
      <c r="J87" s="3">
        <v>38.090000000000003</v>
      </c>
      <c r="K87" t="s">
        <v>45</v>
      </c>
    </row>
    <row r="88" spans="1:11" x14ac:dyDescent="0.25">
      <c r="A88" s="13">
        <v>42825</v>
      </c>
      <c r="B88" s="3">
        <v>17.278372000000001</v>
      </c>
      <c r="C88" s="3">
        <v>18.551680000000001</v>
      </c>
      <c r="D88" s="3">
        <v>-1.2733080000000001</v>
      </c>
      <c r="E88" s="3">
        <v>37.829000000000001</v>
      </c>
      <c r="F88" s="3">
        <v>2.4888178445609501</v>
      </c>
      <c r="G88" s="3">
        <v>-1.653091000000005</v>
      </c>
      <c r="H88" s="3">
        <v>184.33811900000001</v>
      </c>
      <c r="J88" s="3">
        <v>38.231999999999999</v>
      </c>
      <c r="K88" t="s">
        <v>45</v>
      </c>
    </row>
    <row r="89" spans="1:11" x14ac:dyDescent="0.25">
      <c r="A89" s="13">
        <v>42855</v>
      </c>
      <c r="B89" s="3">
        <v>17.571217999999998</v>
      </c>
      <c r="C89" s="3">
        <v>17.398060999999998</v>
      </c>
      <c r="D89" s="3">
        <v>0.17315699999999981</v>
      </c>
      <c r="E89" s="3">
        <v>38.659999999999997</v>
      </c>
      <c r="F89" s="3">
        <v>2.499153777401117</v>
      </c>
      <c r="G89" s="3">
        <v>-1.7451410000000041</v>
      </c>
      <c r="H89" s="3">
        <v>187.60430199999999</v>
      </c>
      <c r="J89" s="3">
        <v>39.070999999999998</v>
      </c>
      <c r="K89" t="s">
        <v>45</v>
      </c>
    </row>
    <row r="90" spans="1:11" x14ac:dyDescent="0.25">
      <c r="A90" s="13">
        <v>42886</v>
      </c>
      <c r="B90" s="3">
        <v>17.924057000000001</v>
      </c>
      <c r="C90" s="3">
        <v>18.525801000000001</v>
      </c>
      <c r="D90" s="3">
        <v>-0.6017439999999965</v>
      </c>
      <c r="E90" s="3">
        <v>38.484000000000002</v>
      </c>
      <c r="F90" s="3">
        <v>2.436395177472237</v>
      </c>
      <c r="G90" s="3">
        <v>-2.1275760000000008</v>
      </c>
      <c r="H90" s="3">
        <v>191.569908</v>
      </c>
      <c r="J90" s="3">
        <v>38.895000000000003</v>
      </c>
      <c r="K90" t="s">
        <v>45</v>
      </c>
    </row>
    <row r="91" spans="1:11" x14ac:dyDescent="0.25">
      <c r="A91" s="13">
        <v>42916</v>
      </c>
      <c r="B91" s="3">
        <v>17.754925</v>
      </c>
      <c r="C91" s="3">
        <v>18.161860000000001</v>
      </c>
      <c r="D91" s="3">
        <v>-0.40693500000000071</v>
      </c>
      <c r="E91" s="3">
        <v>39.195</v>
      </c>
      <c r="F91" s="3">
        <v>2.4378428986077849</v>
      </c>
      <c r="G91" s="3">
        <v>-2.456166000000001</v>
      </c>
      <c r="H91" s="3">
        <v>194.93134699999999</v>
      </c>
      <c r="J91" s="3">
        <v>39.600999999999999</v>
      </c>
      <c r="K91" t="s">
        <v>45</v>
      </c>
    </row>
    <row r="92" spans="1:11" x14ac:dyDescent="0.25">
      <c r="A92" s="13">
        <v>42947</v>
      </c>
      <c r="B92" s="3">
        <v>17.696756000000001</v>
      </c>
      <c r="C92" s="3">
        <v>17.438298</v>
      </c>
      <c r="D92" s="3">
        <v>0.25845800000000102</v>
      </c>
      <c r="E92" s="3">
        <v>39.53</v>
      </c>
      <c r="F92" s="3">
        <v>2.4212786890983109</v>
      </c>
      <c r="G92" s="3">
        <v>-2.6327470000000002</v>
      </c>
      <c r="H92" s="3">
        <v>197.95986400000001</v>
      </c>
      <c r="J92" s="3">
        <v>39.942999999999998</v>
      </c>
      <c r="K92" t="s">
        <v>45</v>
      </c>
    </row>
    <row r="93" spans="1:11" x14ac:dyDescent="0.25">
      <c r="A93" s="13">
        <v>42978</v>
      </c>
      <c r="B93" s="3">
        <v>19.812519000000002</v>
      </c>
      <c r="C93" s="3">
        <v>18.286926999999999</v>
      </c>
      <c r="D93" s="3">
        <v>1.5255920000000029</v>
      </c>
      <c r="E93" s="3">
        <v>39.991999999999997</v>
      </c>
      <c r="F93" s="3">
        <v>2.4166080893170991</v>
      </c>
      <c r="G93" s="3">
        <v>-1.6560279999999961</v>
      </c>
      <c r="H93" s="3">
        <v>200.69617500000001</v>
      </c>
      <c r="J93" s="3">
        <v>40.417000000000002</v>
      </c>
      <c r="K93" t="s">
        <v>45</v>
      </c>
    </row>
    <row r="94" spans="1:11" x14ac:dyDescent="0.25">
      <c r="A94" s="13">
        <v>43008</v>
      </c>
      <c r="B94" s="3">
        <v>19.300833999999998</v>
      </c>
      <c r="C94" s="3">
        <v>18.332678999999999</v>
      </c>
      <c r="D94" s="3">
        <v>0.96815499999999943</v>
      </c>
      <c r="E94" s="3">
        <v>41.356000000000002</v>
      </c>
      <c r="F94" s="3">
        <v>2.4523362665991741</v>
      </c>
      <c r="G94" s="3">
        <v>-1.4452119999999959</v>
      </c>
      <c r="H94" s="3">
        <v>204.417317</v>
      </c>
      <c r="J94" s="3">
        <v>41.774999999999999</v>
      </c>
      <c r="K94" t="s">
        <v>45</v>
      </c>
    </row>
    <row r="95" spans="1:11" x14ac:dyDescent="0.25">
      <c r="A95" s="13">
        <v>43039</v>
      </c>
      <c r="B95" s="3">
        <v>20.336079000000002</v>
      </c>
      <c r="C95" s="3">
        <v>18.223835999999999</v>
      </c>
      <c r="D95" s="3">
        <v>2.112243000000003</v>
      </c>
      <c r="E95" s="3">
        <v>42.670999999999999</v>
      </c>
      <c r="F95" s="3">
        <v>2.5004245380712891</v>
      </c>
      <c r="G95" s="3">
        <v>1.161475000000008</v>
      </c>
      <c r="H95" s="3">
        <v>206.77768599999999</v>
      </c>
      <c r="J95" s="3">
        <v>43.085999999999999</v>
      </c>
      <c r="K95" t="s">
        <v>45</v>
      </c>
    </row>
    <row r="96" spans="1:11" x14ac:dyDescent="0.25">
      <c r="A96" s="13">
        <v>43069</v>
      </c>
      <c r="B96" s="3">
        <v>20.035672000000002</v>
      </c>
      <c r="C96" s="3">
        <v>19.515636000000001</v>
      </c>
      <c r="D96" s="3">
        <v>0.52003600000000105</v>
      </c>
      <c r="E96" s="3">
        <v>43.871000000000002</v>
      </c>
      <c r="F96" s="3">
        <v>2.5322630933817729</v>
      </c>
      <c r="G96" s="3">
        <v>1.993654000000008</v>
      </c>
      <c r="H96" s="3">
        <v>209.87866600000001</v>
      </c>
      <c r="J96" s="3">
        <v>44.289000000000001</v>
      </c>
      <c r="K96" t="s">
        <v>45</v>
      </c>
    </row>
    <row r="97" spans="1:11" x14ac:dyDescent="0.25">
      <c r="A97" s="13">
        <v>43100</v>
      </c>
      <c r="B97" s="3">
        <v>19.722646999999998</v>
      </c>
      <c r="C97" s="3">
        <v>20.125985</v>
      </c>
      <c r="D97" s="3">
        <v>-0.40333799999999798</v>
      </c>
      <c r="E97" s="3">
        <v>49.076000000000001</v>
      </c>
      <c r="F97" s="3">
        <v>2.7884754189373711</v>
      </c>
      <c r="G97" s="3">
        <v>2.036092000000012</v>
      </c>
      <c r="H97" s="3">
        <v>213.006719</v>
      </c>
      <c r="I97" s="3">
        <v>2.46</v>
      </c>
      <c r="J97" s="3">
        <v>49.497</v>
      </c>
      <c r="K97" t="s">
        <v>45</v>
      </c>
    </row>
    <row r="98" spans="1:11" x14ac:dyDescent="0.25">
      <c r="A98" s="13">
        <v>43131</v>
      </c>
      <c r="B98" s="3">
        <v>20.275514000000001</v>
      </c>
      <c r="C98" s="3">
        <v>20.177088999999999</v>
      </c>
      <c r="D98" s="3">
        <v>9.8424999999998875E-2</v>
      </c>
      <c r="E98" s="3">
        <v>53.100999999999999</v>
      </c>
      <c r="F98" s="3">
        <v>2.9201046718556669</v>
      </c>
      <c r="G98" s="3">
        <v>0.89067300000001204</v>
      </c>
      <c r="H98" s="3">
        <v>220.007182</v>
      </c>
      <c r="J98" s="3">
        <v>53.536999999999999</v>
      </c>
      <c r="K98" t="s">
        <v>45</v>
      </c>
    </row>
    <row r="99" spans="1:11" x14ac:dyDescent="0.25">
      <c r="A99" s="13">
        <v>43159</v>
      </c>
      <c r="B99" s="3">
        <v>14.376091000000001</v>
      </c>
      <c r="C99" s="3">
        <v>14.039002</v>
      </c>
      <c r="D99" s="3">
        <v>0.33708900000000058</v>
      </c>
      <c r="E99" s="3">
        <v>55.935000000000002</v>
      </c>
      <c r="F99" s="3">
        <v>3.0915884730658019</v>
      </c>
      <c r="G99" s="3">
        <v>3.307830000000012</v>
      </c>
      <c r="H99" s="3">
        <v>218.77685399999999</v>
      </c>
      <c r="J99" s="3">
        <v>56.363999999999997</v>
      </c>
      <c r="K99" t="s">
        <v>45</v>
      </c>
    </row>
    <row r="100" spans="1:11" x14ac:dyDescent="0.25">
      <c r="A100" s="13">
        <v>43190</v>
      </c>
      <c r="B100" s="3">
        <v>21.256281000000001</v>
      </c>
      <c r="C100" s="3">
        <v>19.014118</v>
      </c>
      <c r="D100" s="3">
        <v>2.2421629999999979</v>
      </c>
      <c r="E100" s="3">
        <v>56.265000000000001</v>
      </c>
      <c r="F100" s="3">
        <v>3.1032393591199878</v>
      </c>
      <c r="G100" s="3">
        <v>6.8233010000000096</v>
      </c>
      <c r="H100" s="3">
        <v>219.23929200000001</v>
      </c>
      <c r="J100" s="3">
        <v>56.695999999999998</v>
      </c>
      <c r="K100" t="s">
        <v>45</v>
      </c>
    </row>
    <row r="101" spans="1:11" x14ac:dyDescent="0.25">
      <c r="A101" s="13">
        <v>43220</v>
      </c>
      <c r="B101" s="3">
        <v>18.507114000000001</v>
      </c>
      <c r="C101" s="3">
        <v>17.509917999999999</v>
      </c>
      <c r="D101" s="3">
        <v>0.99719599999999886</v>
      </c>
      <c r="E101" s="3">
        <v>56.271000000000001</v>
      </c>
      <c r="F101" s="3">
        <v>3.101820998439357</v>
      </c>
      <c r="G101" s="3">
        <v>7.6473400000000087</v>
      </c>
      <c r="H101" s="3">
        <v>219.35114899999999</v>
      </c>
      <c r="J101" s="3">
        <v>56.698999999999998</v>
      </c>
      <c r="K101" t="s">
        <v>45</v>
      </c>
    </row>
    <row r="102" spans="1:11" x14ac:dyDescent="0.25">
      <c r="A102" s="13">
        <v>43251</v>
      </c>
      <c r="B102" s="3">
        <v>20.003533999999998</v>
      </c>
      <c r="C102" s="3">
        <v>21.043491</v>
      </c>
      <c r="D102" s="3">
        <v>-1.0399570000000049</v>
      </c>
      <c r="E102" s="3">
        <v>56.707000000000001</v>
      </c>
      <c r="F102" s="3">
        <v>3.0899877742633342</v>
      </c>
      <c r="G102" s="3">
        <v>7.2091270000000014</v>
      </c>
      <c r="H102" s="3">
        <v>221.86883900000001</v>
      </c>
      <c r="J102" s="3">
        <v>57.131</v>
      </c>
      <c r="K102" t="s">
        <v>45</v>
      </c>
    </row>
    <row r="103" spans="1:11" x14ac:dyDescent="0.25">
      <c r="A103" s="13">
        <v>43281</v>
      </c>
      <c r="B103" s="3">
        <v>19.902289</v>
      </c>
      <c r="C103" s="3">
        <v>19.277903999999999</v>
      </c>
      <c r="D103" s="3">
        <v>0.62438500000000019</v>
      </c>
      <c r="E103" s="3">
        <v>57.761000000000003</v>
      </c>
      <c r="F103" s="3">
        <v>3.130274979223592</v>
      </c>
      <c r="G103" s="3">
        <v>8.2404470000000014</v>
      </c>
      <c r="H103" s="3">
        <v>222.984883</v>
      </c>
      <c r="J103" s="3">
        <v>58.167000000000002</v>
      </c>
      <c r="K103" t="s">
        <v>45</v>
      </c>
    </row>
    <row r="104" spans="1:11" x14ac:dyDescent="0.25">
      <c r="A104" s="13">
        <v>43312</v>
      </c>
      <c r="B104" s="3">
        <v>20.683140999999999</v>
      </c>
      <c r="C104" s="3">
        <v>21.329947000000001</v>
      </c>
      <c r="D104" s="3">
        <v>-0.64680600000000155</v>
      </c>
      <c r="E104" s="3">
        <v>57.822000000000003</v>
      </c>
      <c r="F104" s="3">
        <v>3.079331272570756</v>
      </c>
      <c r="G104" s="3">
        <v>7.3351829999999989</v>
      </c>
      <c r="H104" s="3">
        <v>226.876532</v>
      </c>
      <c r="J104" s="3">
        <v>58.219000000000001</v>
      </c>
      <c r="K104" t="s">
        <v>45</v>
      </c>
    </row>
    <row r="105" spans="1:11" x14ac:dyDescent="0.25">
      <c r="A105" s="13">
        <v>43343</v>
      </c>
      <c r="B105" s="3">
        <v>23.443702999999999</v>
      </c>
      <c r="C105" s="3">
        <v>21.204388999999999</v>
      </c>
      <c r="D105" s="3">
        <v>2.2393140000000038</v>
      </c>
      <c r="E105" s="3">
        <v>57.286000000000001</v>
      </c>
      <c r="F105" s="3">
        <v>3.0118802843907231</v>
      </c>
      <c r="G105" s="3">
        <v>8.0489049999999995</v>
      </c>
      <c r="H105" s="3">
        <v>229.793994</v>
      </c>
      <c r="J105" s="3">
        <v>57.676000000000002</v>
      </c>
      <c r="K105" t="s">
        <v>45</v>
      </c>
    </row>
    <row r="106" spans="1:11" x14ac:dyDescent="0.25">
      <c r="A106" s="13">
        <v>43373</v>
      </c>
      <c r="B106" s="3">
        <v>21.102972999999999</v>
      </c>
      <c r="C106" s="3">
        <v>19.458162999999999</v>
      </c>
      <c r="D106" s="3">
        <v>1.644810000000003</v>
      </c>
      <c r="E106" s="3">
        <v>57.006</v>
      </c>
      <c r="F106" s="3">
        <v>2.982390251202629</v>
      </c>
      <c r="G106" s="3">
        <v>8.7255600000000033</v>
      </c>
      <c r="H106" s="3">
        <v>230.919478</v>
      </c>
      <c r="J106" s="3">
        <v>57.390999999999998</v>
      </c>
      <c r="K106" t="s">
        <v>45</v>
      </c>
    </row>
    <row r="107" spans="1:11" x14ac:dyDescent="0.25">
      <c r="A107" s="13">
        <v>43404</v>
      </c>
      <c r="B107" s="3">
        <v>22.531044999999999</v>
      </c>
      <c r="C107" s="3">
        <v>21.744755999999999</v>
      </c>
      <c r="D107" s="3">
        <v>0.78628899999999646</v>
      </c>
      <c r="E107" s="3">
        <v>55.137999999999998</v>
      </c>
      <c r="F107" s="3">
        <v>2.842598825480581</v>
      </c>
      <c r="G107" s="3">
        <v>7.3996059999999968</v>
      </c>
      <c r="H107" s="3">
        <v>234.44039799999999</v>
      </c>
      <c r="J107" s="3">
        <v>55.534999999999997</v>
      </c>
      <c r="K107" t="s">
        <v>45</v>
      </c>
    </row>
    <row r="108" spans="1:11" x14ac:dyDescent="0.25">
      <c r="A108" s="13">
        <v>43434</v>
      </c>
      <c r="B108" s="3">
        <v>21.777972999999999</v>
      </c>
      <c r="C108" s="3">
        <v>21.526520000000001</v>
      </c>
      <c r="D108" s="3">
        <v>0.25145300000000148</v>
      </c>
      <c r="E108" s="3">
        <v>55.06</v>
      </c>
      <c r="F108" s="3">
        <v>2.8145671039330629</v>
      </c>
      <c r="G108" s="3">
        <v>7.1310229999999972</v>
      </c>
      <c r="H108" s="3">
        <v>236.45128199999999</v>
      </c>
      <c r="J108" s="3">
        <v>55.459000000000003</v>
      </c>
      <c r="K108" t="s">
        <v>45</v>
      </c>
    </row>
    <row r="109" spans="1:11" x14ac:dyDescent="0.25">
      <c r="A109" s="13">
        <v>43465</v>
      </c>
      <c r="B109" s="3">
        <v>19.791356</v>
      </c>
      <c r="C109" s="3">
        <v>20.543558999999998</v>
      </c>
      <c r="D109" s="3">
        <v>-0.75220300000000151</v>
      </c>
      <c r="E109" s="3">
        <v>55.453000000000003</v>
      </c>
      <c r="F109" s="3">
        <v>2.8303256549691791</v>
      </c>
      <c r="G109" s="3">
        <v>6.7821579999999937</v>
      </c>
      <c r="H109" s="3">
        <v>236.86885599999999</v>
      </c>
      <c r="I109" s="3">
        <v>2.5299999999999998</v>
      </c>
      <c r="J109" s="3">
        <v>55.868000000000002</v>
      </c>
      <c r="K109" t="s">
        <v>45</v>
      </c>
    </row>
    <row r="110" spans="1:11" x14ac:dyDescent="0.25">
      <c r="A110" s="13">
        <v>43496</v>
      </c>
      <c r="B110" s="3">
        <v>22.183477</v>
      </c>
      <c r="C110" s="3">
        <v>21.563112</v>
      </c>
      <c r="D110" s="3">
        <v>0.62036499999999961</v>
      </c>
      <c r="E110" s="3">
        <v>59.375</v>
      </c>
      <c r="F110" s="3">
        <v>3.0121020103013292</v>
      </c>
      <c r="G110" s="3">
        <v>7.3040979999999944</v>
      </c>
      <c r="H110" s="3">
        <v>238.25487899999999</v>
      </c>
      <c r="J110" s="3">
        <v>59.804000000000002</v>
      </c>
      <c r="K110" t="s">
        <v>45</v>
      </c>
    </row>
    <row r="111" spans="1:11" x14ac:dyDescent="0.25">
      <c r="A111" s="13">
        <v>43524</v>
      </c>
      <c r="B111" s="3">
        <v>13.878652000000001</v>
      </c>
      <c r="C111" s="3">
        <v>14.693517999999999</v>
      </c>
      <c r="D111" s="3">
        <v>-0.81486599999999854</v>
      </c>
      <c r="E111" s="3">
        <v>60.682000000000002</v>
      </c>
      <c r="F111" s="3">
        <v>3.0695486043987512</v>
      </c>
      <c r="G111" s="3">
        <v>6.1521429999999953</v>
      </c>
      <c r="H111" s="3">
        <v>238.90939499999999</v>
      </c>
      <c r="J111" s="3">
        <v>61.112000000000002</v>
      </c>
      <c r="K111" t="s">
        <v>45</v>
      </c>
    </row>
    <row r="112" spans="1:11" x14ac:dyDescent="0.25">
      <c r="A112" s="13">
        <v>43555</v>
      </c>
      <c r="B112" s="3">
        <v>22.757173999999999</v>
      </c>
      <c r="C112" s="3">
        <v>21.147418999999999</v>
      </c>
      <c r="D112" s="3">
        <v>1.6097549999999961</v>
      </c>
      <c r="E112" s="3">
        <v>62.375999999999998</v>
      </c>
      <c r="F112" s="3">
        <v>3.1262179377548942</v>
      </c>
      <c r="G112" s="3">
        <v>5.5197349999999936</v>
      </c>
      <c r="H112" s="3">
        <v>241.04269600000001</v>
      </c>
      <c r="J112" s="3">
        <v>62.795999999999999</v>
      </c>
      <c r="K112" t="s">
        <v>45</v>
      </c>
    </row>
    <row r="113" spans="1:11" x14ac:dyDescent="0.25">
      <c r="A113" s="13">
        <v>43585</v>
      </c>
      <c r="B113" s="3">
        <v>20.418654</v>
      </c>
      <c r="C113" s="3">
        <v>20.901066</v>
      </c>
      <c r="D113" s="3">
        <v>-0.48241200000000012</v>
      </c>
      <c r="E113" s="3">
        <v>64.260999999999996</v>
      </c>
      <c r="F113" s="3">
        <v>3.1751904208485962</v>
      </c>
      <c r="G113" s="3">
        <v>4.0401269999999947</v>
      </c>
      <c r="H113" s="3">
        <v>244.43384399999999</v>
      </c>
      <c r="J113" s="3">
        <v>64.677000000000007</v>
      </c>
      <c r="K113" t="s">
        <v>45</v>
      </c>
    </row>
    <row r="114" spans="1:11" x14ac:dyDescent="0.25">
      <c r="A114" s="13">
        <v>43616</v>
      </c>
      <c r="B114" s="3">
        <v>21.888649999999998</v>
      </c>
      <c r="C114" s="3">
        <v>23.077413</v>
      </c>
      <c r="D114" s="3">
        <v>-1.188762999999998</v>
      </c>
      <c r="E114" s="3">
        <v>63.555999999999997</v>
      </c>
      <c r="F114" s="3">
        <v>3.114906311927216</v>
      </c>
      <c r="G114" s="3">
        <v>3.8913210000000009</v>
      </c>
      <c r="H114" s="3">
        <v>246.46776600000001</v>
      </c>
      <c r="J114" s="3">
        <v>63.976999999999997</v>
      </c>
      <c r="K114" t="s">
        <v>45</v>
      </c>
    </row>
    <row r="115" spans="1:11" x14ac:dyDescent="0.25">
      <c r="A115" s="13">
        <v>43646</v>
      </c>
      <c r="B115" s="3">
        <v>21.436589999999999</v>
      </c>
      <c r="C115" s="3">
        <v>19.462485999999998</v>
      </c>
      <c r="D115" s="3">
        <v>1.974103999999997</v>
      </c>
      <c r="E115" s="3">
        <v>64.28</v>
      </c>
      <c r="F115" s="3">
        <v>3.149647697657433</v>
      </c>
      <c r="G115" s="3">
        <v>5.2410399999999981</v>
      </c>
      <c r="H115" s="3">
        <v>246.65234799999999</v>
      </c>
      <c r="J115" s="3">
        <v>64.739000000000004</v>
      </c>
      <c r="K115" t="s">
        <v>45</v>
      </c>
    </row>
    <row r="116" spans="1:11" x14ac:dyDescent="0.25">
      <c r="A116" s="13">
        <v>43677</v>
      </c>
      <c r="B116" s="3">
        <v>22.929921</v>
      </c>
      <c r="C116" s="3">
        <v>22.667538</v>
      </c>
      <c r="D116" s="3">
        <v>0.26238299999999981</v>
      </c>
      <c r="E116" s="3">
        <v>64.745000000000005</v>
      </c>
      <c r="F116" s="3">
        <v>3.1554505926952139</v>
      </c>
      <c r="G116" s="3">
        <v>6.1502290000000004</v>
      </c>
      <c r="H116" s="3">
        <v>247.98993899999999</v>
      </c>
      <c r="J116" s="3">
        <v>65.209999999999994</v>
      </c>
      <c r="K116" t="s">
        <v>45</v>
      </c>
    </row>
    <row r="117" spans="1:11" x14ac:dyDescent="0.25">
      <c r="A117" s="13">
        <v>43708</v>
      </c>
      <c r="B117" s="3">
        <v>25.855689000000002</v>
      </c>
      <c r="C117" s="3">
        <v>22.362935</v>
      </c>
      <c r="D117" s="3">
        <v>3.4927539999999979</v>
      </c>
      <c r="E117" s="3">
        <v>66.727000000000004</v>
      </c>
      <c r="F117" s="3">
        <v>3.2377319091464671</v>
      </c>
      <c r="G117" s="3">
        <v>7.4036689999999936</v>
      </c>
      <c r="H117" s="3">
        <v>249.14848499999999</v>
      </c>
      <c r="J117" s="3">
        <v>67.222999999999999</v>
      </c>
      <c r="K117" t="s">
        <v>45</v>
      </c>
    </row>
    <row r="118" spans="1:11" x14ac:dyDescent="0.25">
      <c r="A118" s="13">
        <v>43738</v>
      </c>
      <c r="B118" s="3">
        <v>23.300957</v>
      </c>
      <c r="C118" s="3">
        <v>21.499485</v>
      </c>
      <c r="D118" s="3">
        <v>1.8014719999999971</v>
      </c>
      <c r="E118" s="3">
        <v>69.186999999999998</v>
      </c>
      <c r="F118" s="3">
        <v>3.3284630852875332</v>
      </c>
      <c r="G118" s="3">
        <v>7.5603309999999873</v>
      </c>
      <c r="H118" s="3">
        <v>251.189807</v>
      </c>
      <c r="J118" s="3">
        <v>69.673000000000002</v>
      </c>
      <c r="K118" t="s">
        <v>45</v>
      </c>
    </row>
    <row r="119" spans="1:11" x14ac:dyDescent="0.25">
      <c r="A119" s="13">
        <v>43769</v>
      </c>
      <c r="B119" s="3">
        <v>24.291499000000002</v>
      </c>
      <c r="C119" s="3">
        <v>22.262460000000001</v>
      </c>
      <c r="D119" s="3">
        <v>2.0290389999999969</v>
      </c>
      <c r="E119" s="3">
        <v>70.510999999999996</v>
      </c>
      <c r="F119" s="3">
        <v>3.384785764299262</v>
      </c>
      <c r="G119" s="3">
        <v>8.8030809999999882</v>
      </c>
      <c r="H119" s="3">
        <v>251.70751100000001</v>
      </c>
      <c r="J119" s="3">
        <v>70.998000000000005</v>
      </c>
      <c r="K119" t="s">
        <v>45</v>
      </c>
    </row>
    <row r="120" spans="1:11" x14ac:dyDescent="0.25">
      <c r="A120" s="13">
        <v>43799</v>
      </c>
      <c r="B120" s="3">
        <v>22.798002</v>
      </c>
      <c r="C120" s="3">
        <v>21.343634999999999</v>
      </c>
      <c r="D120" s="3">
        <v>1.4543670000000011</v>
      </c>
      <c r="E120" s="3">
        <v>73.828000000000003</v>
      </c>
      <c r="F120" s="3">
        <v>3.5448775500813192</v>
      </c>
      <c r="G120" s="3">
        <v>10.00599499999999</v>
      </c>
      <c r="H120" s="3">
        <v>251.52462600000001</v>
      </c>
      <c r="J120" s="3">
        <v>74.302000000000007</v>
      </c>
      <c r="K120" t="s">
        <v>45</v>
      </c>
    </row>
    <row r="121" spans="1:11" x14ac:dyDescent="0.25">
      <c r="A121" s="13">
        <v>43830</v>
      </c>
      <c r="B121" s="3">
        <v>22.528375</v>
      </c>
      <c r="C121" s="3">
        <v>22.412399000000001</v>
      </c>
      <c r="D121" s="3">
        <v>0.1159759999999999</v>
      </c>
      <c r="E121" s="3">
        <v>78.334999999999994</v>
      </c>
      <c r="F121" s="3">
        <v>3.732219361962553</v>
      </c>
      <c r="G121" s="3">
        <v>10.874173999999989</v>
      </c>
      <c r="H121" s="3">
        <v>253.39346599999999</v>
      </c>
      <c r="I121" s="3">
        <v>3.37</v>
      </c>
      <c r="J121" s="3">
        <v>78.81</v>
      </c>
      <c r="K121" t="s">
        <v>45</v>
      </c>
    </row>
    <row r="122" spans="1:11" x14ac:dyDescent="0.25">
      <c r="A122" s="13">
        <v>43861</v>
      </c>
      <c r="B122" s="3">
        <v>18.401320999999999</v>
      </c>
      <c r="C122" s="3">
        <v>18.724045</v>
      </c>
      <c r="D122" s="3">
        <v>-0.32272399999999729</v>
      </c>
      <c r="E122" s="3">
        <v>81.525000000000006</v>
      </c>
      <c r="F122" s="3">
        <v>3.92906292577206</v>
      </c>
      <c r="G122" s="3">
        <v>9.9310849999999924</v>
      </c>
      <c r="H122" s="3">
        <v>250.55439899999999</v>
      </c>
      <c r="J122" s="3">
        <v>82.037000000000006</v>
      </c>
      <c r="K122" t="s">
        <v>45</v>
      </c>
    </row>
    <row r="123" spans="1:11" x14ac:dyDescent="0.25">
      <c r="A123" s="13">
        <v>43890</v>
      </c>
      <c r="B123" s="3">
        <v>20.990248999999999</v>
      </c>
      <c r="C123" s="3">
        <v>18.798604000000001</v>
      </c>
      <c r="D123" s="3">
        <v>2.1916449999999981</v>
      </c>
      <c r="E123" s="3">
        <v>81.12</v>
      </c>
      <c r="F123" s="3">
        <v>3.847679186188568</v>
      </c>
      <c r="G123" s="3">
        <v>12.93759599999999</v>
      </c>
      <c r="H123" s="3">
        <v>254.65948499999999</v>
      </c>
      <c r="J123" s="3">
        <v>81.653999999999996</v>
      </c>
      <c r="K123" t="s">
        <v>45</v>
      </c>
    </row>
    <row r="124" spans="1:11" x14ac:dyDescent="0.25">
      <c r="A124" s="13">
        <v>43921</v>
      </c>
      <c r="B124" s="3">
        <v>24.006689999999999</v>
      </c>
      <c r="C124" s="3">
        <v>22.063753999999999</v>
      </c>
      <c r="D124" s="3">
        <v>1.942936</v>
      </c>
      <c r="E124" s="3">
        <v>81.679000000000002</v>
      </c>
      <c r="F124" s="3">
        <v>3.8597078549919148</v>
      </c>
      <c r="G124" s="3">
        <v>13.27077699999999</v>
      </c>
      <c r="H124" s="3">
        <v>255.57581999999999</v>
      </c>
      <c r="J124" s="3">
        <v>82.203999999999994</v>
      </c>
      <c r="K124" t="s">
        <v>45</v>
      </c>
    </row>
    <row r="125" spans="1:11" x14ac:dyDescent="0.25">
      <c r="A125" s="13">
        <v>43951</v>
      </c>
      <c r="B125" s="3">
        <v>17.600887</v>
      </c>
      <c r="C125" s="3">
        <v>18.805357000000001</v>
      </c>
      <c r="D125" s="3">
        <v>-1.204470000000001</v>
      </c>
      <c r="E125" s="3">
        <v>81.790999999999997</v>
      </c>
      <c r="F125" s="3">
        <v>3.898388698433227</v>
      </c>
      <c r="G125" s="3">
        <v>12.54871899999999</v>
      </c>
      <c r="H125" s="3">
        <v>253.48011099999999</v>
      </c>
      <c r="J125" s="3">
        <v>82.346999999999994</v>
      </c>
      <c r="K125" t="s">
        <v>45</v>
      </c>
    </row>
    <row r="126" spans="1:11" x14ac:dyDescent="0.25">
      <c r="A126" s="13">
        <v>43982</v>
      </c>
      <c r="B126" s="3">
        <v>19.170120000000001</v>
      </c>
      <c r="C126" s="3">
        <v>17.907243999999999</v>
      </c>
      <c r="D126" s="3">
        <v>1.2628760000000021</v>
      </c>
      <c r="E126" s="3">
        <v>83.221999999999994</v>
      </c>
      <c r="F126" s="3">
        <v>4.0489075544143933</v>
      </c>
      <c r="G126" s="3">
        <v>15.00035799999999</v>
      </c>
      <c r="H126" s="3">
        <v>248.30994200000001</v>
      </c>
      <c r="J126" s="3">
        <v>83.781999999999996</v>
      </c>
      <c r="K126" t="s">
        <v>45</v>
      </c>
    </row>
    <row r="127" spans="1:11" x14ac:dyDescent="0.25">
      <c r="A127" s="13">
        <v>44012</v>
      </c>
      <c r="B127" s="3">
        <v>22.595503999999998</v>
      </c>
      <c r="C127" s="3">
        <v>20.601606</v>
      </c>
      <c r="D127" s="3">
        <v>1.9938980000000019</v>
      </c>
      <c r="E127" s="3">
        <v>83.747</v>
      </c>
      <c r="F127" s="3">
        <v>4.05634718321771</v>
      </c>
      <c r="G127" s="3">
        <v>15.020152</v>
      </c>
      <c r="H127" s="3">
        <v>249.449062</v>
      </c>
      <c r="J127" s="3">
        <v>84.320999999999998</v>
      </c>
      <c r="K127" t="s">
        <v>45</v>
      </c>
    </row>
    <row r="128" spans="1:11" x14ac:dyDescent="0.25">
      <c r="A128" s="13">
        <v>44043</v>
      </c>
      <c r="B128" s="3">
        <v>24.908674000000001</v>
      </c>
      <c r="C128" s="3">
        <v>22.085964000000001</v>
      </c>
      <c r="D128" s="3">
        <v>2.8227099999999972</v>
      </c>
      <c r="E128" s="3">
        <v>84.509</v>
      </c>
      <c r="F128" s="3">
        <v>4.1057994686714574</v>
      </c>
      <c r="G128" s="3">
        <v>17.58047899999999</v>
      </c>
      <c r="H128" s="3">
        <v>248.86748800000001</v>
      </c>
      <c r="J128" s="3">
        <v>85.15</v>
      </c>
      <c r="K128" t="s">
        <v>45</v>
      </c>
    </row>
    <row r="129" spans="1:11" x14ac:dyDescent="0.25">
      <c r="A129" s="13">
        <v>44074</v>
      </c>
      <c r="B129" s="3">
        <v>27.699639999999999</v>
      </c>
      <c r="C129" s="3">
        <v>22.696787</v>
      </c>
      <c r="D129" s="3">
        <v>5.0028529999999982</v>
      </c>
      <c r="E129" s="3">
        <v>88.182000000000002</v>
      </c>
      <c r="F129" s="3">
        <v>4.2771680120179134</v>
      </c>
      <c r="G129" s="3">
        <v>19.09057799999999</v>
      </c>
      <c r="H129" s="3">
        <v>249.20133999999999</v>
      </c>
      <c r="J129" s="3">
        <v>88.822999999999993</v>
      </c>
      <c r="K129" t="s">
        <v>45</v>
      </c>
    </row>
    <row r="130" spans="1:11" x14ac:dyDescent="0.25">
      <c r="A130" s="13">
        <v>44104</v>
      </c>
      <c r="B130" s="3">
        <v>27.167563999999999</v>
      </c>
      <c r="C130" s="3">
        <v>24.197489999999998</v>
      </c>
      <c r="D130" s="3">
        <v>2.9700739999999972</v>
      </c>
      <c r="E130" s="3">
        <v>88.74</v>
      </c>
      <c r="F130" s="3">
        <v>4.2567955069513976</v>
      </c>
      <c r="G130" s="3">
        <v>20.25917999999999</v>
      </c>
      <c r="H130" s="3">
        <v>251.89934500000001</v>
      </c>
      <c r="J130" s="3">
        <v>89.356999999999999</v>
      </c>
      <c r="K130" t="s">
        <v>45</v>
      </c>
    </row>
    <row r="131" spans="1:11" x14ac:dyDescent="0.25">
      <c r="A131" s="13">
        <v>44135</v>
      </c>
      <c r="B131" s="3">
        <v>27.210249999999998</v>
      </c>
      <c r="C131" s="3">
        <v>24.239099</v>
      </c>
      <c r="D131" s="3">
        <v>2.971150999999999</v>
      </c>
      <c r="E131" s="3">
        <v>90.441000000000003</v>
      </c>
      <c r="F131" s="3">
        <v>4.3036288142954087</v>
      </c>
      <c r="G131" s="3">
        <v>21.201291999999999</v>
      </c>
      <c r="H131" s="3">
        <v>253.87598399999999</v>
      </c>
      <c r="J131" s="3">
        <v>91.049000000000007</v>
      </c>
      <c r="K131" t="s">
        <v>45</v>
      </c>
    </row>
    <row r="132" spans="1:11" x14ac:dyDescent="0.25">
      <c r="A132" s="13">
        <v>44165</v>
      </c>
      <c r="B132" s="3">
        <v>25.225003000000001</v>
      </c>
      <c r="C132" s="3">
        <v>24.666262</v>
      </c>
      <c r="D132" s="3">
        <v>0.55874100000000126</v>
      </c>
      <c r="E132" s="3">
        <v>92.938999999999993</v>
      </c>
      <c r="F132" s="3">
        <v>4.3633206090681407</v>
      </c>
      <c r="G132" s="3">
        <v>20.305665999999999</v>
      </c>
      <c r="H132" s="3">
        <v>257.19861100000003</v>
      </c>
      <c r="J132" s="3">
        <v>93.52</v>
      </c>
      <c r="K132" t="s">
        <v>45</v>
      </c>
    </row>
    <row r="133" spans="1:11" x14ac:dyDescent="0.25">
      <c r="A133" s="13">
        <v>44196</v>
      </c>
      <c r="B133" s="3">
        <v>27.653037000000001</v>
      </c>
      <c r="C133" s="3">
        <v>27.904482999999999</v>
      </c>
      <c r="D133" s="3">
        <v>-0.25144599999999778</v>
      </c>
      <c r="E133" s="3">
        <v>94.834000000000003</v>
      </c>
      <c r="F133" s="3">
        <v>4.3603523908602853</v>
      </c>
      <c r="G133" s="3">
        <v>19.938244000000001</v>
      </c>
      <c r="H133" s="3">
        <v>262.69069500000001</v>
      </c>
      <c r="I133" s="3">
        <v>3.98</v>
      </c>
      <c r="J133" s="3">
        <v>95.451999999999998</v>
      </c>
      <c r="K133" t="s">
        <v>45</v>
      </c>
    </row>
    <row r="134" spans="1:11" x14ac:dyDescent="0.25">
      <c r="A134" s="13">
        <v>44227</v>
      </c>
      <c r="B134" s="3">
        <v>28.5470297</v>
      </c>
      <c r="C134" s="3">
        <v>26.586037306000001</v>
      </c>
      <c r="D134" s="3">
        <v>1.960992394000002</v>
      </c>
      <c r="E134" s="3">
        <v>97.421999999999997</v>
      </c>
      <c r="F134" s="3">
        <v>4.3475894167321192</v>
      </c>
      <c r="G134" s="3">
        <v>22.221960394</v>
      </c>
      <c r="H134" s="3">
        <v>270.552687306</v>
      </c>
      <c r="J134" s="3">
        <v>98.021000000000001</v>
      </c>
      <c r="K134" t="s">
        <v>45</v>
      </c>
    </row>
    <row r="135" spans="1:11" x14ac:dyDescent="0.25">
      <c r="A135" s="13">
        <v>44255</v>
      </c>
      <c r="B135" s="3">
        <v>20.269947129999998</v>
      </c>
      <c r="C135" s="3">
        <v>20.828748515000001</v>
      </c>
      <c r="D135" s="3">
        <v>-0.55880138499999887</v>
      </c>
      <c r="E135" s="3">
        <v>98.105999999999995</v>
      </c>
      <c r="F135" s="3">
        <v>4.3443088183104326</v>
      </c>
      <c r="G135" s="3">
        <v>19.471514009</v>
      </c>
      <c r="H135" s="3">
        <v>272.58283182100001</v>
      </c>
      <c r="J135" s="3">
        <v>98.682000000000002</v>
      </c>
      <c r="K135" t="s">
        <v>45</v>
      </c>
    </row>
    <row r="136" spans="1:11" x14ac:dyDescent="0.25">
      <c r="A136" s="13">
        <v>44286</v>
      </c>
      <c r="B136" s="3">
        <v>29.738463800000002</v>
      </c>
      <c r="C136" s="3">
        <v>28.684959358</v>
      </c>
      <c r="D136" s="3">
        <v>1.053504442000001</v>
      </c>
      <c r="E136" s="3">
        <v>98.311000000000007</v>
      </c>
      <c r="F136" s="3">
        <v>4.2488927165456714</v>
      </c>
      <c r="G136" s="3">
        <v>18.582082451000002</v>
      </c>
      <c r="H136" s="3">
        <v>279.20403717900001</v>
      </c>
      <c r="J136" s="3">
        <v>98.858999999999995</v>
      </c>
      <c r="K136" t="s">
        <v>45</v>
      </c>
    </row>
    <row r="137" spans="1:11" x14ac:dyDescent="0.25">
      <c r="A137" s="13">
        <v>44316</v>
      </c>
      <c r="B137" s="3">
        <v>26.613149870000001</v>
      </c>
      <c r="C137" s="3">
        <v>27.956348928000001</v>
      </c>
      <c r="D137" s="3">
        <v>-1.3431990579999999</v>
      </c>
      <c r="E137" s="3">
        <v>100.83499999999999</v>
      </c>
      <c r="F137" s="3">
        <v>4.2204639321494559</v>
      </c>
      <c r="G137" s="3">
        <v>18.443353392999999</v>
      </c>
      <c r="H137" s="3">
        <v>288.35502910700001</v>
      </c>
      <c r="J137" s="3">
        <v>101.416</v>
      </c>
      <c r="K137" t="s">
        <v>45</v>
      </c>
    </row>
    <row r="138" spans="1:11" x14ac:dyDescent="0.25">
      <c r="A138" s="13">
        <v>44347</v>
      </c>
      <c r="B138" s="3">
        <v>26.18948</v>
      </c>
      <c r="C138" s="3">
        <v>28.541854921999999</v>
      </c>
      <c r="D138" s="3">
        <v>-2.3523749219999992</v>
      </c>
      <c r="E138" s="3">
        <v>101.66</v>
      </c>
      <c r="F138" s="3">
        <v>4.1050251770628394</v>
      </c>
      <c r="G138" s="3">
        <v>14.828102470999999</v>
      </c>
      <c r="H138" s="3">
        <v>298.98964002899999</v>
      </c>
      <c r="J138" s="3">
        <v>102.28</v>
      </c>
      <c r="K138" t="s">
        <v>45</v>
      </c>
    </row>
    <row r="139" spans="1:11" x14ac:dyDescent="0.25">
      <c r="A139" s="13">
        <v>44377</v>
      </c>
      <c r="B139" s="3">
        <v>27.210671439999999</v>
      </c>
      <c r="C139" s="3">
        <v>27.828694774999999</v>
      </c>
      <c r="D139" s="3">
        <v>-0.61802333500000017</v>
      </c>
      <c r="E139" s="3">
        <v>100.21599999999999</v>
      </c>
      <c r="F139" s="3">
        <v>3.9497123645852268</v>
      </c>
      <c r="G139" s="3">
        <v>12.216181135999999</v>
      </c>
      <c r="H139" s="3">
        <v>306.21672880400001</v>
      </c>
      <c r="J139" s="3">
        <v>100.789</v>
      </c>
      <c r="K139" t="s">
        <v>45</v>
      </c>
    </row>
    <row r="140" spans="1:11" x14ac:dyDescent="0.25">
      <c r="A140" s="13">
        <v>44408</v>
      </c>
      <c r="B140" s="3">
        <v>27.852179020000001</v>
      </c>
      <c r="C140" s="3">
        <v>29.299795526</v>
      </c>
      <c r="D140" s="3">
        <v>-1.447616505999999</v>
      </c>
      <c r="E140" s="3">
        <v>102.279</v>
      </c>
      <c r="F140" s="3">
        <v>3.9386331655096138</v>
      </c>
      <c r="G140" s="3">
        <v>7.945854630000003</v>
      </c>
      <c r="H140" s="3">
        <v>313.43056032999999</v>
      </c>
      <c r="J140" s="3">
        <v>102.874</v>
      </c>
      <c r="K140" t="s">
        <v>45</v>
      </c>
    </row>
    <row r="141" spans="1:11" x14ac:dyDescent="0.25">
      <c r="A141" s="13">
        <v>44439</v>
      </c>
      <c r="B141" s="3">
        <v>27.330295100000001</v>
      </c>
      <c r="C141" s="3">
        <v>27.540503180999998</v>
      </c>
      <c r="D141" s="3">
        <v>-0.21020808099999749</v>
      </c>
      <c r="E141" s="3">
        <v>106.935</v>
      </c>
      <c r="F141" s="3">
        <v>4.0540128286346322</v>
      </c>
      <c r="G141" s="3">
        <v>2.7327935490000068</v>
      </c>
      <c r="H141" s="3">
        <v>318.27427651099998</v>
      </c>
      <c r="J141" s="3">
        <v>107.524</v>
      </c>
      <c r="K141" t="s">
        <v>45</v>
      </c>
    </row>
    <row r="142" spans="1:11" x14ac:dyDescent="0.25">
      <c r="A142" s="13">
        <v>44469</v>
      </c>
      <c r="B142" s="3">
        <v>27.13245994</v>
      </c>
      <c r="C142" s="3">
        <v>27.055002749</v>
      </c>
      <c r="D142" s="3">
        <v>7.7457191000000591E-2</v>
      </c>
      <c r="E142" s="3">
        <v>107.179</v>
      </c>
      <c r="F142" s="3">
        <v>4.0260853744168497</v>
      </c>
      <c r="G142" s="3">
        <v>-0.15982325999998889</v>
      </c>
      <c r="H142" s="3">
        <v>321.13178926000001</v>
      </c>
      <c r="J142" s="3">
        <v>107.742</v>
      </c>
      <c r="K142" t="s">
        <v>45</v>
      </c>
    </row>
    <row r="143" spans="1:11" x14ac:dyDescent="0.25">
      <c r="A143" s="13">
        <v>44500</v>
      </c>
      <c r="B143" s="3">
        <v>28.954259990000001</v>
      </c>
      <c r="C143" s="3">
        <v>26.149852179</v>
      </c>
      <c r="D143" s="3">
        <v>2.8044078109999968</v>
      </c>
      <c r="E143" s="3">
        <v>107.38200000000001</v>
      </c>
      <c r="F143" s="3">
        <v>4.0106668001619354</v>
      </c>
      <c r="G143" s="3">
        <v>-0.32656644899999071</v>
      </c>
      <c r="H143" s="3">
        <v>323.04254243899999</v>
      </c>
      <c r="J143" s="3">
        <v>107.968</v>
      </c>
      <c r="K143" t="s">
        <v>45</v>
      </c>
    </row>
    <row r="144" spans="1:11" x14ac:dyDescent="0.25">
      <c r="A144" s="13">
        <v>44530</v>
      </c>
      <c r="B144" s="3">
        <v>31.856548</v>
      </c>
      <c r="C144" s="3">
        <v>30.625684418999999</v>
      </c>
      <c r="D144" s="3">
        <v>1.2308635809999979</v>
      </c>
      <c r="E144" s="3">
        <v>109.965</v>
      </c>
      <c r="F144" s="3">
        <v>4.0320488680745443</v>
      </c>
      <c r="G144" s="3">
        <v>0.34555613200000579</v>
      </c>
      <c r="H144" s="3">
        <v>329.00196485800001</v>
      </c>
      <c r="J144" s="3">
        <v>110.54600000000001</v>
      </c>
      <c r="K144" t="s">
        <v>45</v>
      </c>
    </row>
    <row r="145" spans="1:11" x14ac:dyDescent="0.25">
      <c r="A145" s="13">
        <v>44561</v>
      </c>
      <c r="B145" s="3">
        <v>34.472355589999999</v>
      </c>
      <c r="C145" s="3">
        <v>31.745080539</v>
      </c>
      <c r="D145" s="3">
        <v>2.727275050999999</v>
      </c>
      <c r="E145" s="3">
        <v>109.371</v>
      </c>
      <c r="F145" s="3">
        <v>3.9645049914803012</v>
      </c>
      <c r="G145" s="3">
        <v>3.3242771830000031</v>
      </c>
      <c r="H145" s="3">
        <v>332.84256239699999</v>
      </c>
      <c r="I145" s="3">
        <v>3.69</v>
      </c>
      <c r="J145" s="3">
        <v>109.96299999999999</v>
      </c>
      <c r="K145" t="s">
        <v>45</v>
      </c>
    </row>
    <row r="146" spans="1:11" x14ac:dyDescent="0.25">
      <c r="A146" s="13">
        <v>44592</v>
      </c>
      <c r="B146" s="3">
        <v>30.844611759999999</v>
      </c>
      <c r="C146" s="3">
        <v>29.449124632</v>
      </c>
      <c r="D146" s="3">
        <v>1.395487127999999</v>
      </c>
      <c r="E146" s="3">
        <v>111.569</v>
      </c>
      <c r="F146" s="3">
        <v>4.0090120649160843</v>
      </c>
      <c r="G146" s="3">
        <v>2.7587719170000011</v>
      </c>
      <c r="H146" s="3">
        <v>335.70564972300002</v>
      </c>
      <c r="J146" s="3">
        <v>112.154</v>
      </c>
      <c r="K146" t="s">
        <v>45</v>
      </c>
    </row>
    <row r="147" spans="1:11" x14ac:dyDescent="0.25">
      <c r="A147" s="13">
        <v>44620</v>
      </c>
      <c r="B147" s="3">
        <v>23.417046979999999</v>
      </c>
      <c r="C147" s="3">
        <v>25.380703591</v>
      </c>
      <c r="D147" s="3">
        <v>-1.9636566110000011</v>
      </c>
      <c r="E147" s="3">
        <v>110.904</v>
      </c>
      <c r="F147" s="3">
        <v>3.9333022425482418</v>
      </c>
      <c r="G147" s="3">
        <v>1.353916690999998</v>
      </c>
      <c r="H147" s="3">
        <v>340.25760479899998</v>
      </c>
      <c r="J147" s="3">
        <v>111.52800000000001</v>
      </c>
      <c r="K147" t="s">
        <v>45</v>
      </c>
    </row>
    <row r="148" spans="1:11" x14ac:dyDescent="0.25">
      <c r="A148" s="13">
        <v>44651</v>
      </c>
      <c r="B148" s="3">
        <v>34.711505930000001</v>
      </c>
      <c r="C148" s="3">
        <v>32.662639962999997</v>
      </c>
      <c r="D148" s="3">
        <v>2.048865966999998</v>
      </c>
      <c r="E148" s="3">
        <v>108.24</v>
      </c>
      <c r="F148" s="3">
        <v>3.795160041384936</v>
      </c>
      <c r="G148" s="3">
        <v>2.3492782159999952</v>
      </c>
      <c r="H148" s="3">
        <v>344.23528540400002</v>
      </c>
      <c r="J148" s="3">
        <v>108.869</v>
      </c>
      <c r="K148" t="s">
        <v>45</v>
      </c>
    </row>
    <row r="149" spans="1:11" x14ac:dyDescent="0.25">
      <c r="A149" s="13">
        <v>44681</v>
      </c>
      <c r="B149" s="3">
        <v>33.316784820000002</v>
      </c>
      <c r="C149" s="3">
        <v>32.467678962000001</v>
      </c>
      <c r="D149" s="3">
        <v>0.84910585800000149</v>
      </c>
      <c r="E149" s="3">
        <v>107.29600000000001</v>
      </c>
      <c r="F149" s="3">
        <v>3.7132403374685108</v>
      </c>
      <c r="G149" s="3">
        <v>4.541583131999996</v>
      </c>
      <c r="H149" s="3">
        <v>348.74661543799999</v>
      </c>
      <c r="J149" s="3">
        <v>107.91500000000001</v>
      </c>
      <c r="K149" t="s">
        <v>45</v>
      </c>
    </row>
    <row r="150" spans="1:11" x14ac:dyDescent="0.25">
      <c r="A150" s="13">
        <v>44712</v>
      </c>
      <c r="B150" s="3">
        <v>30.9178988</v>
      </c>
      <c r="C150" s="3">
        <v>32.615979740999997</v>
      </c>
      <c r="D150" s="3">
        <v>-1.6980809409999971</v>
      </c>
      <c r="E150" s="3">
        <v>104.752</v>
      </c>
      <c r="F150" s="3">
        <v>3.583258736657891</v>
      </c>
      <c r="G150" s="3">
        <v>5.1958771129999981</v>
      </c>
      <c r="H150" s="3">
        <v>352.82074025700001</v>
      </c>
      <c r="J150" s="3">
        <v>105.354</v>
      </c>
      <c r="K150" t="s">
        <v>45</v>
      </c>
    </row>
    <row r="151" spans="1:11" x14ac:dyDescent="0.25">
      <c r="A151" s="13">
        <v>44742</v>
      </c>
      <c r="B151" s="3">
        <v>32.843366860000003</v>
      </c>
      <c r="C151" s="3">
        <v>32.232750117000002</v>
      </c>
      <c r="D151" s="3">
        <v>0.61061674300000135</v>
      </c>
      <c r="E151" s="3">
        <v>103.262</v>
      </c>
      <c r="F151" s="3">
        <v>3.488693997039797</v>
      </c>
      <c r="G151" s="3">
        <v>6.4245171909999996</v>
      </c>
      <c r="H151" s="3">
        <v>357.224795599</v>
      </c>
      <c r="J151" s="3">
        <v>103.854</v>
      </c>
      <c r="K151" t="s">
        <v>45</v>
      </c>
    </row>
    <row r="152" spans="1:11" x14ac:dyDescent="0.25">
      <c r="A152" s="13">
        <v>44773</v>
      </c>
      <c r="B152" s="3">
        <v>30.607490009999999</v>
      </c>
      <c r="C152" s="3">
        <v>30.533121209000001</v>
      </c>
      <c r="D152" s="3">
        <v>7.4368801000002094E-2</v>
      </c>
      <c r="E152" s="3">
        <v>100.437</v>
      </c>
      <c r="F152" s="3">
        <v>3.3814159257015151</v>
      </c>
      <c r="G152" s="3">
        <v>7.946502498000001</v>
      </c>
      <c r="H152" s="3">
        <v>358.45812128199998</v>
      </c>
      <c r="J152" s="3">
        <v>101.008</v>
      </c>
      <c r="K152" t="s">
        <v>45</v>
      </c>
    </row>
    <row r="153" spans="1:11" x14ac:dyDescent="0.25">
      <c r="A153" s="13">
        <v>44804</v>
      </c>
      <c r="B153" s="3">
        <v>33.380000000000003</v>
      </c>
      <c r="C153" s="3">
        <v>30.96</v>
      </c>
      <c r="D153" s="3">
        <v>2.4200000000000021</v>
      </c>
      <c r="E153" s="3">
        <v>93.902000000000001</v>
      </c>
      <c r="F153" s="3">
        <v>3.1324291509059972</v>
      </c>
      <c r="G153" s="3">
        <v>10.576710579</v>
      </c>
      <c r="H153" s="3">
        <v>361.877618101</v>
      </c>
      <c r="J153" s="3">
        <v>94.462999999999994</v>
      </c>
      <c r="K153" t="s">
        <v>45</v>
      </c>
    </row>
    <row r="154" spans="1:11" x14ac:dyDescent="0.25">
      <c r="A154" s="13">
        <v>44834</v>
      </c>
      <c r="B154" s="3">
        <v>29.94</v>
      </c>
      <c r="C154" s="3">
        <v>28.8</v>
      </c>
      <c r="D154" s="3">
        <v>1.140000000000001</v>
      </c>
      <c r="E154" s="3">
        <v>87.584000000000003</v>
      </c>
      <c r="F154" s="3">
        <v>2.908234953913142</v>
      </c>
      <c r="G154" s="3">
        <v>11.639253388</v>
      </c>
      <c r="H154" s="3">
        <v>363.62261535200003</v>
      </c>
      <c r="J154" s="3">
        <v>88.125</v>
      </c>
      <c r="K154" t="s">
        <v>45</v>
      </c>
    </row>
    <row r="155" spans="1:11" x14ac:dyDescent="0.25">
      <c r="A155" s="13">
        <v>44865</v>
      </c>
      <c r="B155" s="3">
        <v>30.27</v>
      </c>
      <c r="C155" s="3">
        <v>28</v>
      </c>
      <c r="D155" s="3">
        <v>2.27</v>
      </c>
      <c r="E155" s="3">
        <v>85.888999999999996</v>
      </c>
      <c r="F155" s="3">
        <v>2.8376286949435139</v>
      </c>
      <c r="G155" s="3">
        <v>11.104845577000001</v>
      </c>
      <c r="H155" s="3">
        <v>365.47276317299998</v>
      </c>
      <c r="J155" s="3">
        <v>86.423000000000002</v>
      </c>
      <c r="K155" t="s">
        <v>45</v>
      </c>
    </row>
    <row r="156" spans="1:11" x14ac:dyDescent="0.25">
      <c r="A156" s="13">
        <v>44895</v>
      </c>
      <c r="B156" s="3">
        <v>29.18</v>
      </c>
      <c r="C156" s="3">
        <v>28.4</v>
      </c>
      <c r="D156" s="3">
        <v>0.78000000000000114</v>
      </c>
      <c r="E156" s="3">
        <v>85.299000000000007</v>
      </c>
      <c r="F156" s="3">
        <v>2.836713796941039</v>
      </c>
      <c r="G156" s="3">
        <v>10.65398199600001</v>
      </c>
      <c r="H156" s="3">
        <v>363.24707875399997</v>
      </c>
      <c r="J156" s="3">
        <v>85.869</v>
      </c>
      <c r="K156" t="s">
        <v>45</v>
      </c>
    </row>
    <row r="157" spans="1:11" x14ac:dyDescent="0.25">
      <c r="A157" s="13">
        <v>44926</v>
      </c>
      <c r="B157" s="3">
        <v>29.66</v>
      </c>
      <c r="C157" s="3">
        <v>29.16</v>
      </c>
      <c r="D157" s="3">
        <v>0.5</v>
      </c>
      <c r="E157" s="3">
        <v>86.54</v>
      </c>
      <c r="F157" s="3">
        <v>2.8990356765469572</v>
      </c>
      <c r="G157" s="3">
        <v>8.4267069450000065</v>
      </c>
      <c r="H157" s="3">
        <v>360.66199821499998</v>
      </c>
      <c r="I157" s="3">
        <v>2.65</v>
      </c>
      <c r="J157" s="3">
        <v>87.131</v>
      </c>
      <c r="K157" t="s">
        <v>45</v>
      </c>
    </row>
    <row r="158" spans="1:11" x14ac:dyDescent="0.25">
      <c r="A158" s="13">
        <v>44957</v>
      </c>
      <c r="B158" s="3">
        <v>33.57</v>
      </c>
      <c r="C158" s="3">
        <v>30.65</v>
      </c>
      <c r="D158" s="3">
        <v>2.9200000000000021</v>
      </c>
      <c r="E158" s="3">
        <v>88.271000000000001</v>
      </c>
      <c r="F158" s="3">
        <v>2.9479785793922231</v>
      </c>
      <c r="G158" s="3">
        <v>9.951219817000009</v>
      </c>
      <c r="H158" s="3">
        <v>361.86287358300001</v>
      </c>
      <c r="J158" s="3">
        <v>88.897000000000006</v>
      </c>
      <c r="K158" t="s">
        <v>45</v>
      </c>
    </row>
    <row r="159" spans="1:11" x14ac:dyDescent="0.25">
      <c r="A159" s="13">
        <v>44985</v>
      </c>
      <c r="B159" s="3">
        <v>25.88</v>
      </c>
      <c r="C159" s="3">
        <v>23.58</v>
      </c>
      <c r="D159" s="3">
        <v>2.3000000000000012</v>
      </c>
      <c r="E159" s="3">
        <v>87.644999999999996</v>
      </c>
      <c r="F159" s="3">
        <v>2.9406921588666912</v>
      </c>
      <c r="G159" s="3">
        <v>14.214876428000011</v>
      </c>
      <c r="H159" s="3">
        <v>360.06216999200001</v>
      </c>
      <c r="J159" s="3">
        <v>88.236000000000004</v>
      </c>
      <c r="K159" t="s">
        <v>45</v>
      </c>
    </row>
    <row r="160" spans="1:11" x14ac:dyDescent="0.25">
      <c r="A160" s="13">
        <v>45016</v>
      </c>
      <c r="B160" s="3">
        <v>29.57</v>
      </c>
      <c r="C160" s="3">
        <v>28.92</v>
      </c>
      <c r="D160" s="3">
        <v>0.64999999999999858</v>
      </c>
      <c r="E160" s="3">
        <v>88.212000000000003</v>
      </c>
      <c r="F160" s="3">
        <v>2.992460166057187</v>
      </c>
      <c r="G160" s="3">
        <v>12.81601046100001</v>
      </c>
      <c r="H160" s="3">
        <v>356.31953002900002</v>
      </c>
      <c r="J160" s="3">
        <v>88.855999999999995</v>
      </c>
      <c r="K160" t="s">
        <v>45</v>
      </c>
    </row>
    <row r="161" spans="1:11" x14ac:dyDescent="0.25">
      <c r="A161" s="13">
        <v>45046</v>
      </c>
      <c r="B161" s="3">
        <v>26.03</v>
      </c>
      <c r="C161" s="3">
        <v>27.54</v>
      </c>
      <c r="D161" s="3">
        <v>-1.509999999999998</v>
      </c>
      <c r="E161" s="3">
        <v>90.024000000000001</v>
      </c>
      <c r="F161" s="3">
        <v>3.096372316820013</v>
      </c>
      <c r="G161" s="3">
        <v>10.456904603000011</v>
      </c>
      <c r="H161" s="3">
        <v>351.391851067</v>
      </c>
      <c r="J161" s="3">
        <v>90.67</v>
      </c>
      <c r="K161" t="s">
        <v>45</v>
      </c>
    </row>
    <row r="162" spans="1:11" x14ac:dyDescent="0.25">
      <c r="A162" s="13">
        <v>45077</v>
      </c>
      <c r="B162" s="3">
        <v>29.05</v>
      </c>
      <c r="C162" s="3">
        <v>26.81</v>
      </c>
      <c r="D162" s="3">
        <v>2.240000000000002</v>
      </c>
      <c r="E162" s="3">
        <v>89.542000000000002</v>
      </c>
      <c r="F162" s="3">
        <v>3.1313432920386441</v>
      </c>
      <c r="G162" s="3">
        <v>14.39498554400001</v>
      </c>
      <c r="H162" s="3">
        <v>345.58587132600002</v>
      </c>
      <c r="J162" s="3">
        <v>90.179000000000002</v>
      </c>
      <c r="K162" t="s">
        <v>45</v>
      </c>
    </row>
    <row r="163" spans="1:11" x14ac:dyDescent="0.25">
      <c r="A163" s="13">
        <v>45107</v>
      </c>
      <c r="B163" s="3">
        <v>29.3</v>
      </c>
      <c r="C163" s="3">
        <v>26.71</v>
      </c>
      <c r="D163" s="3">
        <v>2.59</v>
      </c>
      <c r="E163" s="3">
        <v>91.108000000000004</v>
      </c>
      <c r="F163" s="3">
        <v>3.2368931864372601</v>
      </c>
      <c r="G163" s="3">
        <v>16.37436880100001</v>
      </c>
      <c r="H163" s="3">
        <v>340.06312120899997</v>
      </c>
      <c r="J163" s="3">
        <v>91.728999999999999</v>
      </c>
      <c r="K163" t="s">
        <v>45</v>
      </c>
    </row>
    <row r="164" spans="1:11" x14ac:dyDescent="0.25">
      <c r="A164" s="13">
        <v>45138</v>
      </c>
      <c r="B164" s="3">
        <v>29.68</v>
      </c>
      <c r="C164" s="3">
        <v>27.53</v>
      </c>
      <c r="D164" s="3">
        <v>2.149999999999999</v>
      </c>
      <c r="E164" s="3">
        <v>89.111000000000004</v>
      </c>
      <c r="F164" s="3">
        <v>3.195205601376609</v>
      </c>
      <c r="G164" s="3">
        <v>18.45000000000001</v>
      </c>
      <c r="H164" s="3">
        <v>337.06</v>
      </c>
      <c r="J164" s="3">
        <v>89.748000000000005</v>
      </c>
      <c r="K164" t="s">
        <v>45</v>
      </c>
    </row>
    <row r="165" spans="1:11" x14ac:dyDescent="0.25">
      <c r="A165" s="13">
        <v>45169</v>
      </c>
      <c r="B165" s="3">
        <v>32.369999999999997</v>
      </c>
      <c r="C165" s="3">
        <v>28.55</v>
      </c>
      <c r="D165" s="3">
        <v>3.8199999999999972</v>
      </c>
      <c r="E165" s="3">
        <v>89.552999999999997</v>
      </c>
      <c r="F165" s="3">
        <v>3.2339220080681308</v>
      </c>
      <c r="G165" s="3">
        <v>19.850000000000001</v>
      </c>
      <c r="H165" s="3">
        <v>334.65</v>
      </c>
      <c r="J165" s="3">
        <v>90.186000000000007</v>
      </c>
      <c r="K165" t="s">
        <v>45</v>
      </c>
    </row>
    <row r="166" spans="1:11" x14ac:dyDescent="0.25">
      <c r="A166" s="13">
        <v>45199</v>
      </c>
      <c r="B166" s="3">
        <v>31.41</v>
      </c>
      <c r="C166" s="3">
        <v>29.12</v>
      </c>
      <c r="D166" s="3">
        <v>2.2899999999999991</v>
      </c>
      <c r="E166" s="3">
        <v>89.474999999999994</v>
      </c>
      <c r="F166" s="3">
        <v>3.2271069050959791</v>
      </c>
      <c r="G166" s="3">
        <v>21</v>
      </c>
      <c r="H166" s="3">
        <v>334.97</v>
      </c>
      <c r="J166" s="3">
        <v>90.081999999999994</v>
      </c>
      <c r="K166" t="s">
        <v>45</v>
      </c>
    </row>
    <row r="167" spans="1:11" x14ac:dyDescent="0.25">
      <c r="A167" s="13">
        <v>45230</v>
      </c>
      <c r="B167" s="3">
        <v>29.31</v>
      </c>
      <c r="C167" s="3">
        <v>29.31</v>
      </c>
      <c r="D167" s="3">
        <v>0</v>
      </c>
      <c r="E167" s="3">
        <v>89.045000000000002</v>
      </c>
      <c r="F167" s="3">
        <v>3.200689901272749</v>
      </c>
      <c r="G167" s="3">
        <v>18.73</v>
      </c>
      <c r="H167" s="3">
        <v>336.28</v>
      </c>
      <c r="J167" s="3">
        <v>89.694000000000003</v>
      </c>
      <c r="K167" t="s">
        <v>45</v>
      </c>
    </row>
    <row r="168" spans="1:11" x14ac:dyDescent="0.25">
      <c r="A168" s="13">
        <v>45260</v>
      </c>
      <c r="B168" s="3">
        <v>31.08</v>
      </c>
      <c r="C168" s="3">
        <v>29.8</v>
      </c>
      <c r="D168" s="3">
        <v>1.279999999999998</v>
      </c>
      <c r="E168" s="3">
        <v>89.956999999999994</v>
      </c>
      <c r="F168" s="3">
        <v>3.220433546552949</v>
      </c>
      <c r="G168" s="3">
        <v>19.23</v>
      </c>
      <c r="H168" s="3">
        <v>337.68</v>
      </c>
      <c r="J168" s="3">
        <v>90.623000000000005</v>
      </c>
      <c r="K168" t="s">
        <v>45</v>
      </c>
    </row>
    <row r="169" spans="1:11" x14ac:dyDescent="0.25">
      <c r="A169" s="13">
        <v>45291</v>
      </c>
      <c r="B169" s="3">
        <v>32.909999999999997</v>
      </c>
      <c r="C169" s="3">
        <v>30.63</v>
      </c>
      <c r="D169" s="3">
        <v>2.279999999999998</v>
      </c>
      <c r="E169" s="3">
        <v>92.238</v>
      </c>
      <c r="F169" s="3">
        <v>3.2873595754091109</v>
      </c>
      <c r="G169" s="3">
        <v>21.009999999999991</v>
      </c>
      <c r="H169" s="3">
        <v>339.15</v>
      </c>
      <c r="I169" s="3">
        <v>3.02</v>
      </c>
      <c r="J169" s="3">
        <v>92.909000000000006</v>
      </c>
      <c r="K169" t="s">
        <v>45</v>
      </c>
    </row>
    <row r="170" spans="1:11" x14ac:dyDescent="0.25">
      <c r="A170" s="13">
        <v>45322</v>
      </c>
      <c r="B170" s="3">
        <v>33.57</v>
      </c>
      <c r="C170" s="3">
        <v>30.65</v>
      </c>
      <c r="D170" s="3">
        <v>2.9200000000000021</v>
      </c>
      <c r="E170" s="3">
        <v>89.983999999999995</v>
      </c>
      <c r="F170" s="3">
        <v>3.2073241928350291</v>
      </c>
      <c r="G170" s="3">
        <v>21.009999999999991</v>
      </c>
      <c r="H170" s="3">
        <v>339.15</v>
      </c>
      <c r="J170" s="3">
        <v>90.647000000000006</v>
      </c>
      <c r="K170" t="s">
        <v>45</v>
      </c>
    </row>
    <row r="171" spans="1:11" x14ac:dyDescent="0.25">
      <c r="A171" s="13">
        <v>45351</v>
      </c>
      <c r="B171" s="3">
        <v>24.82</v>
      </c>
      <c r="C171" s="3">
        <v>23.72</v>
      </c>
      <c r="D171" s="3">
        <v>1.100000000000001</v>
      </c>
      <c r="E171" s="3">
        <v>90.2</v>
      </c>
      <c r="F171" s="3">
        <v>3.2136048807804531</v>
      </c>
      <c r="G171" s="3">
        <v>19.809999999999999</v>
      </c>
      <c r="H171" s="3">
        <v>339.29</v>
      </c>
      <c r="J171" s="3">
        <v>90.861999999999995</v>
      </c>
      <c r="K171" t="s">
        <v>45</v>
      </c>
    </row>
    <row r="172" spans="1:11" x14ac:dyDescent="0.25">
      <c r="A172" s="13">
        <v>45382</v>
      </c>
      <c r="B172" s="3">
        <v>34.01</v>
      </c>
      <c r="C172" s="3">
        <v>31.08</v>
      </c>
      <c r="D172" s="3">
        <v>2.93</v>
      </c>
      <c r="E172" s="3">
        <v>90.956000000000003</v>
      </c>
      <c r="F172" s="3">
        <v>3.2220940108361402</v>
      </c>
      <c r="G172" s="3">
        <v>22.09</v>
      </c>
      <c r="H172" s="3">
        <v>341.45</v>
      </c>
      <c r="J172" s="3">
        <v>91.682000000000002</v>
      </c>
      <c r="K172" t="s">
        <v>45</v>
      </c>
    </row>
    <row r="173" spans="1:11" x14ac:dyDescent="0.25">
      <c r="A173" s="13">
        <v>45412</v>
      </c>
      <c r="B173" s="3">
        <v>30.94</v>
      </c>
      <c r="C173" s="3">
        <v>30.26</v>
      </c>
      <c r="D173" s="3">
        <v>0.67999999999999972</v>
      </c>
      <c r="E173" s="3">
        <v>90.096000000000004</v>
      </c>
      <c r="F173" s="3">
        <v>3.16772525205567</v>
      </c>
      <c r="G173" s="3">
        <v>24.27999999999999</v>
      </c>
      <c r="H173" s="3">
        <v>344.17</v>
      </c>
      <c r="J173" s="3">
        <v>90.852999999999994</v>
      </c>
      <c r="K173" t="s">
        <v>45</v>
      </c>
    </row>
    <row r="174" spans="1:11" x14ac:dyDescent="0.25">
      <c r="A174" s="13">
        <v>45443</v>
      </c>
      <c r="B174" s="3">
        <v>32.81</v>
      </c>
      <c r="C174" s="3">
        <v>33.81</v>
      </c>
      <c r="D174" s="3">
        <v>-1</v>
      </c>
      <c r="E174" s="3">
        <v>86.001999999999995</v>
      </c>
      <c r="F174" s="3">
        <v>2.9649229717800498</v>
      </c>
      <c r="G174" s="3">
        <v>21.039999999999988</v>
      </c>
      <c r="H174" s="3">
        <v>351.17</v>
      </c>
      <c r="J174" s="3">
        <v>86.766000000000005</v>
      </c>
      <c r="K174" t="s">
        <v>45</v>
      </c>
    </row>
    <row r="175" spans="1:11" x14ac:dyDescent="0.25">
      <c r="A175" s="13">
        <v>45473</v>
      </c>
      <c r="B175" s="3">
        <v>33.090000000000003</v>
      </c>
      <c r="C175" s="3">
        <v>30.15</v>
      </c>
      <c r="D175" s="3">
        <v>2.9400000000000048</v>
      </c>
      <c r="E175" s="3">
        <v>84.722999999999999</v>
      </c>
      <c r="F175" s="3">
        <v>2.8918304616339081</v>
      </c>
      <c r="G175" s="3">
        <v>21.39</v>
      </c>
      <c r="H175" s="3">
        <v>354.61</v>
      </c>
      <c r="J175" s="3">
        <v>85.456000000000003</v>
      </c>
      <c r="K175" t="s">
        <v>45</v>
      </c>
    </row>
    <row r="176" spans="1:11" x14ac:dyDescent="0.25">
      <c r="A176" s="13">
        <v>45504</v>
      </c>
      <c r="B176" s="3">
        <v>35.92</v>
      </c>
      <c r="C176" s="3">
        <v>33.799999999999997</v>
      </c>
      <c r="D176" s="3">
        <v>2.120000000000005</v>
      </c>
      <c r="E176" s="3">
        <v>83.084000000000003</v>
      </c>
      <c r="F176" s="3">
        <v>2.788184438040346</v>
      </c>
      <c r="G176" s="3">
        <v>21.36</v>
      </c>
      <c r="H176" s="3">
        <v>360.88</v>
      </c>
      <c r="J176" s="3">
        <v>83.85</v>
      </c>
      <c r="K176" t="s">
        <v>45</v>
      </c>
    </row>
    <row r="177" spans="1:11" x14ac:dyDescent="0.25">
      <c r="A177" s="13">
        <v>45535</v>
      </c>
      <c r="B177" s="3">
        <v>37.589670480000002</v>
      </c>
      <c r="C177" s="3">
        <v>33.059429594999997</v>
      </c>
      <c r="D177" s="3">
        <v>4.5302408849999978</v>
      </c>
      <c r="E177" s="3">
        <v>83.921000000000006</v>
      </c>
      <c r="F177" s="3">
        <v>2.7830361735618072</v>
      </c>
      <c r="G177" s="3">
        <v>22.070240885</v>
      </c>
      <c r="H177" s="3">
        <v>365.38942959500002</v>
      </c>
      <c r="J177" s="3">
        <v>84.741</v>
      </c>
      <c r="K177" t="s">
        <v>45</v>
      </c>
    </row>
    <row r="178" spans="1:11" x14ac:dyDescent="0.25">
      <c r="A178" s="13">
        <v>45565</v>
      </c>
      <c r="B178" s="3">
        <v>34.049626709999998</v>
      </c>
      <c r="C178" s="3">
        <v>31.758453093</v>
      </c>
      <c r="D178" s="3">
        <v>2.2911736169999979</v>
      </c>
      <c r="E178" s="3">
        <v>84.286000000000001</v>
      </c>
      <c r="F178" s="3">
        <v>2.776517889179265</v>
      </c>
      <c r="G178" s="3">
        <v>22.071414502</v>
      </c>
      <c r="H178" s="3">
        <v>368.02788268799998</v>
      </c>
      <c r="J178" s="3">
        <v>85.153000000000006</v>
      </c>
      <c r="K178" t="s">
        <v>45</v>
      </c>
    </row>
    <row r="179" spans="1:11" x14ac:dyDescent="0.25">
      <c r="A179" s="13">
        <v>45596</v>
      </c>
      <c r="B179" s="3">
        <v>35.58741715</v>
      </c>
      <c r="C179" s="3">
        <v>33.600609501000001</v>
      </c>
      <c r="D179" s="3">
        <v>1.9868076489999991</v>
      </c>
      <c r="E179" s="3">
        <v>84.376000000000005</v>
      </c>
      <c r="F179" s="3">
        <v>2.7487111746265169</v>
      </c>
      <c r="G179" s="3">
        <v>24.058222150999999</v>
      </c>
      <c r="H179" s="3">
        <v>372.31849218899998</v>
      </c>
      <c r="J179" s="3">
        <v>85.283000000000001</v>
      </c>
      <c r="K179" t="s">
        <v>45</v>
      </c>
    </row>
    <row r="180" spans="1:11" x14ac:dyDescent="0.25">
      <c r="A180" s="13">
        <v>45626</v>
      </c>
      <c r="B180" s="3">
        <v>33.73377301</v>
      </c>
      <c r="C180" s="3">
        <v>32.667000000000002</v>
      </c>
      <c r="D180" s="3">
        <v>1.066773009999999</v>
      </c>
      <c r="E180" s="3">
        <v>83.921000000000006</v>
      </c>
      <c r="F180" s="3">
        <v>2.7115867249139529</v>
      </c>
      <c r="G180" s="3">
        <v>23.844995161</v>
      </c>
      <c r="H180" s="3">
        <v>375.185492189</v>
      </c>
      <c r="J180" s="3">
        <v>84.778999999999996</v>
      </c>
      <c r="K180" t="s">
        <v>45</v>
      </c>
    </row>
    <row r="181" spans="1:11" x14ac:dyDescent="0.25">
      <c r="A181" s="13">
        <v>45657</v>
      </c>
      <c r="B181" s="3">
        <v>35.528989180000004</v>
      </c>
      <c r="C181" s="3">
        <v>35.005006915000003</v>
      </c>
      <c r="D181" s="3">
        <v>0.52398226500000078</v>
      </c>
      <c r="E181" s="3">
        <v>83.081999999999994</v>
      </c>
      <c r="F181" s="3">
        <v>2.6535216451067889</v>
      </c>
      <c r="G181" s="3">
        <v>22.08897742600001</v>
      </c>
      <c r="H181" s="3">
        <v>379.56049910399997</v>
      </c>
      <c r="I181" s="3">
        <v>2.37</v>
      </c>
      <c r="J181" s="3">
        <v>83.930999999999997</v>
      </c>
      <c r="K181" t="s">
        <v>45</v>
      </c>
    </row>
    <row r="182" spans="1:11" x14ac:dyDescent="0.25">
      <c r="A182" s="13">
        <v>45688</v>
      </c>
      <c r="B182" s="3">
        <v>33.0852918</v>
      </c>
      <c r="C182" s="3">
        <v>30.060507368</v>
      </c>
      <c r="D182" s="3">
        <v>3.024784432000001</v>
      </c>
      <c r="E182" s="3">
        <v>80.852999999999994</v>
      </c>
      <c r="F182" s="3">
        <v>2.5886518579158961</v>
      </c>
      <c r="G182" s="3">
        <v>22.193761858000009</v>
      </c>
      <c r="H182" s="3">
        <v>378.971006472</v>
      </c>
      <c r="J182" s="3">
        <v>81.751999999999995</v>
      </c>
      <c r="K182" t="s">
        <v>45</v>
      </c>
    </row>
    <row r="183" spans="1:11" x14ac:dyDescent="0.25">
      <c r="A183" s="13">
        <v>45716</v>
      </c>
      <c r="B183" s="3">
        <v>31.10932047</v>
      </c>
      <c r="C183" s="3">
        <v>32.659284980000002</v>
      </c>
      <c r="D183" s="3">
        <v>-1.5499645100000019</v>
      </c>
      <c r="E183" s="3">
        <v>81.346000000000004</v>
      </c>
      <c r="F183" s="3">
        <v>2.545423572816397</v>
      </c>
      <c r="G183" s="3">
        <v>19.543797347999998</v>
      </c>
      <c r="H183" s="3">
        <v>387.91029145200002</v>
      </c>
      <c r="J183" s="3">
        <v>82.283000000000001</v>
      </c>
      <c r="K183" t="s">
        <v>45</v>
      </c>
    </row>
    <row r="184" spans="1:11" x14ac:dyDescent="0.25">
      <c r="A184" s="13">
        <v>45747</v>
      </c>
      <c r="B184" s="3">
        <v>38.509838409999993</v>
      </c>
      <c r="C184" s="3">
        <v>36.875296876999997</v>
      </c>
      <c r="D184" s="3">
        <v>1.6345415329999891</v>
      </c>
      <c r="E184" s="3">
        <v>82.552999999999997</v>
      </c>
      <c r="F184" s="3">
        <v>2.5467558239537031</v>
      </c>
      <c r="G184" s="3">
        <v>18.248338880999992</v>
      </c>
      <c r="H184" s="3">
        <v>393.70558832900002</v>
      </c>
      <c r="J184" s="3">
        <v>83.555999999999997</v>
      </c>
      <c r="K184" t="s">
        <v>45</v>
      </c>
    </row>
    <row r="185" spans="1:11" x14ac:dyDescent="0.25">
      <c r="A185" s="13">
        <v>45777</v>
      </c>
      <c r="B185" s="3">
        <v>37.445441760000001</v>
      </c>
      <c r="C185" s="3">
        <v>36.868753346999988</v>
      </c>
      <c r="D185" s="3">
        <v>0.57668841300000651</v>
      </c>
      <c r="E185" s="3">
        <v>82.037999999999997</v>
      </c>
      <c r="F185" s="3">
        <v>2.4917018856329438</v>
      </c>
      <c r="G185" s="3">
        <v>18.145027293999998</v>
      </c>
      <c r="H185" s="3">
        <v>400.31434167600003</v>
      </c>
      <c r="J185" s="3">
        <v>83.122</v>
      </c>
      <c r="K185" t="s">
        <v>45</v>
      </c>
    </row>
    <row r="186" spans="1:11" x14ac:dyDescent="0.25">
      <c r="A186" s="13">
        <v>45808</v>
      </c>
      <c r="B186" s="3">
        <v>39.595452429999987</v>
      </c>
      <c r="C186" s="3">
        <v>39.044875355999999</v>
      </c>
      <c r="D186" s="3">
        <v>0.550577073999996</v>
      </c>
      <c r="E186" s="3">
        <v>81.694000000000003</v>
      </c>
      <c r="F186" s="3">
        <v>2.4492415674461139</v>
      </c>
      <c r="G186" s="3">
        <v>19.695604367999991</v>
      </c>
      <c r="H186" s="3">
        <v>405.549217032</v>
      </c>
      <c r="J186" s="3">
        <v>82.774000000000001</v>
      </c>
      <c r="K186" t="s">
        <v>45</v>
      </c>
    </row>
    <row r="187" spans="1:11" x14ac:dyDescent="0.25">
      <c r="A187" s="13">
        <v>45838</v>
      </c>
      <c r="B187" s="3">
        <v>39.489055469999997</v>
      </c>
      <c r="C187" s="3">
        <v>36.662641125999997</v>
      </c>
      <c r="D187" s="3">
        <v>2.8264143439999931</v>
      </c>
      <c r="E187" s="3">
        <v>83.066999999999993</v>
      </c>
      <c r="F187" s="3">
        <v>2.4499913787528991</v>
      </c>
      <c r="G187" s="3">
        <v>19.582018711999979</v>
      </c>
      <c r="H187" s="3">
        <v>412.06185815800001</v>
      </c>
      <c r="J187" s="3">
        <v>84.129000000000005</v>
      </c>
      <c r="K187" t="s">
        <v>45</v>
      </c>
    </row>
    <row r="188" spans="1:11" x14ac:dyDescent="0.25">
      <c r="A188" s="13">
        <v>45869</v>
      </c>
      <c r="B188" s="3">
        <v>42.265542410000002</v>
      </c>
      <c r="C188" s="3">
        <v>39.998519049000002</v>
      </c>
      <c r="D188" s="3">
        <v>2.2670233610000001</v>
      </c>
      <c r="E188" s="3">
        <v>82.22</v>
      </c>
      <c r="F188" s="3">
        <v>2.3896119605547779</v>
      </c>
      <c r="G188" s="3">
        <v>19.729042072999981</v>
      </c>
      <c r="H188" s="3">
        <v>418.26037720699998</v>
      </c>
      <c r="J188" s="3">
        <v>83.29</v>
      </c>
      <c r="K188" t="s">
        <v>45</v>
      </c>
    </row>
    <row r="189" spans="1:11" x14ac:dyDescent="0.25">
      <c r="A189" s="13">
        <v>45900</v>
      </c>
      <c r="B189" s="3">
        <v>43.38635026</v>
      </c>
      <c r="C189" s="3">
        <v>39.669299926000001</v>
      </c>
      <c r="D189" s="3">
        <v>3.7170503340000001</v>
      </c>
      <c r="E189" s="3">
        <v>82.77</v>
      </c>
      <c r="F189" s="3">
        <v>2.3694386835358752</v>
      </c>
      <c r="G189" s="3">
        <v>18.915851521999979</v>
      </c>
      <c r="H189" s="3">
        <v>424.870247538</v>
      </c>
      <c r="J189" s="3">
        <v>83.891999999999996</v>
      </c>
      <c r="K189" t="s">
        <v>45</v>
      </c>
    </row>
    <row r="190" spans="1:11" x14ac:dyDescent="0.25">
      <c r="A190" s="13">
        <v>45930</v>
      </c>
      <c r="B190" s="3">
        <v>42.67031094</v>
      </c>
      <c r="C190" s="3">
        <v>42.670310936</v>
      </c>
      <c r="D190" s="3">
        <v>4.000000330961484E-9</v>
      </c>
      <c r="E190" s="3">
        <v>84.173000000000002</v>
      </c>
      <c r="F190" s="3">
        <v>2.3522397715339789</v>
      </c>
      <c r="G190" s="3">
        <v>16.624677908999981</v>
      </c>
      <c r="H190" s="3">
        <v>435.78210538100001</v>
      </c>
      <c r="J190" s="3">
        <v>85.421999999999997</v>
      </c>
      <c r="K190" t="s">
        <v>45</v>
      </c>
    </row>
    <row r="191" spans="1:11" x14ac:dyDescent="0.25">
      <c r="A191" s="13">
        <v>45961</v>
      </c>
      <c r="B191" s="3">
        <v>42.049211819999996</v>
      </c>
      <c r="C191" s="3">
        <v>39.445204962000012</v>
      </c>
      <c r="D191" s="3">
        <v>2.6040068579999911</v>
      </c>
      <c r="E191" s="3">
        <v>82.21</v>
      </c>
      <c r="F191" s="3">
        <v>2.269536688087586</v>
      </c>
      <c r="G191" s="3">
        <v>17.241877117999969</v>
      </c>
      <c r="H191" s="3">
        <v>441.62670084199999</v>
      </c>
      <c r="J191" s="3">
        <v>83.524000000000001</v>
      </c>
      <c r="K191" t="s">
        <v>45</v>
      </c>
    </row>
    <row r="192" spans="1:11" x14ac:dyDescent="0.25">
      <c r="A192" s="13">
        <v>45991</v>
      </c>
      <c r="B192" s="3">
        <v>39.111767319999998</v>
      </c>
      <c r="C192" s="3">
        <v>37.983000308000001</v>
      </c>
      <c r="D192" s="3">
        <v>1.1287670119999971</v>
      </c>
      <c r="E192" s="3">
        <v>83.340999999999994</v>
      </c>
      <c r="F192" s="3">
        <v>2.2742244081503999</v>
      </c>
      <c r="G192" s="3">
        <v>17.303871119999972</v>
      </c>
      <c r="H192" s="3">
        <v>446.94270115</v>
      </c>
      <c r="J192" s="3">
        <v>84.703999999999994</v>
      </c>
      <c r="K192" t="s">
        <v>45</v>
      </c>
    </row>
    <row r="193" spans="1:11" x14ac:dyDescent="0.25">
      <c r="A193" s="13">
        <v>46022</v>
      </c>
      <c r="B193" s="3">
        <v>44.050037260000003</v>
      </c>
      <c r="C193" s="3">
        <v>44.686566349000003</v>
      </c>
      <c r="D193" s="3">
        <v>-0.63652908900000682</v>
      </c>
      <c r="E193" s="3">
        <v>85.58</v>
      </c>
      <c r="F193" s="3">
        <v>2.284898307123715</v>
      </c>
      <c r="G193" s="3">
        <v>16.143359765999961</v>
      </c>
      <c r="H193" s="3">
        <v>456.62426058400001</v>
      </c>
      <c r="J193" s="3">
        <v>86.944999999999993</v>
      </c>
      <c r="K193" t="s">
        <v>45</v>
      </c>
    </row>
    <row r="194" spans="1:11" x14ac:dyDescent="0.25">
      <c r="A194" s="13">
        <v>46053</v>
      </c>
      <c r="B194" s="3">
        <v>43.189637400000002</v>
      </c>
      <c r="C194" s="3">
        <v>44.974075622999997</v>
      </c>
      <c r="D194" s="3">
        <v>-1.7844382229999951</v>
      </c>
      <c r="E194" s="3">
        <v>84.545000000000002</v>
      </c>
      <c r="F194" s="3">
        <v>2.1961164866659608</v>
      </c>
      <c r="G194" s="3">
        <v>11.33413711099997</v>
      </c>
      <c r="H194" s="3">
        <v>471.53782883899999</v>
      </c>
      <c r="J194" s="3">
        <v>86.296000000000006</v>
      </c>
      <c r="K194" t="s">
        <v>45</v>
      </c>
    </row>
    <row r="195" spans="1:11" x14ac:dyDescent="0.25">
      <c r="A195" s="13">
        <v>46081</v>
      </c>
      <c r="B195" s="3">
        <v>33.090034030000012</v>
      </c>
      <c r="C195" s="3">
        <v>34.102372899000002</v>
      </c>
      <c r="D195" s="3">
        <v>-1.012338868999997</v>
      </c>
      <c r="E195" s="3">
        <v>86.387</v>
      </c>
      <c r="F195" s="3">
        <v>2.2344749281729328</v>
      </c>
      <c r="G195" s="3">
        <v>11.87176275199997</v>
      </c>
      <c r="H195" s="3">
        <v>472.98091675799998</v>
      </c>
      <c r="J195" s="3">
        <v>88.072000000000003</v>
      </c>
      <c r="K195" t="s">
        <v>45</v>
      </c>
    </row>
    <row r="196" spans="1:11" x14ac:dyDescent="0.25">
      <c r="A196" s="13">
        <v>46112</v>
      </c>
      <c r="B196" s="3">
        <v>46.435724450000002</v>
      </c>
      <c r="C196" s="3">
        <v>47.112553601000002</v>
      </c>
      <c r="D196" s="3">
        <v>-0.67682915099999974</v>
      </c>
      <c r="E196" s="3">
        <v>85.366</v>
      </c>
      <c r="F196" s="3">
        <v>2.1566655750765551</v>
      </c>
      <c r="G196" s="3">
        <v>9.5603920679999845</v>
      </c>
      <c r="H196" s="3">
        <v>483.218173482</v>
      </c>
      <c r="J196" s="3">
        <v>86.844999999999999</v>
      </c>
      <c r="K196" t="s">
        <v>45</v>
      </c>
    </row>
    <row r="197" spans="1:11" x14ac:dyDescent="0.25">
      <c r="A197" s="13">
        <v>46142</v>
      </c>
      <c r="B197" s="3">
        <v>45.986234529999997</v>
      </c>
      <c r="C197" s="3">
        <v>49.979629138</v>
      </c>
      <c r="D197" s="3">
        <v>-3.993394607999996</v>
      </c>
      <c r="E197" s="3">
        <v>84.516999999999996</v>
      </c>
      <c r="F197" s="3">
        <v>2.0794591844095498</v>
      </c>
      <c r="G197" s="3">
        <v>4.9903090469999816</v>
      </c>
      <c r="H197" s="3">
        <v>496.32904927300001</v>
      </c>
      <c r="J197" s="3">
        <v>86.007999999999996</v>
      </c>
      <c r="K197" t="s">
        <v>45</v>
      </c>
    </row>
    <row r="198" spans="1:11" x14ac:dyDescent="0.25">
      <c r="A198" s="13">
        <v>46173</v>
      </c>
      <c r="B198" s="3">
        <v>46.92934597</v>
      </c>
      <c r="C198" s="3">
        <v>52.141009445999998</v>
      </c>
      <c r="D198" s="3">
        <v>-5.2116634759999982</v>
      </c>
      <c r="E198" s="3">
        <v>85.052000000000007</v>
      </c>
      <c r="F198" s="3">
        <v>2.0379911200036012</v>
      </c>
      <c r="G198" s="3">
        <v>-0.77193150300001179</v>
      </c>
      <c r="H198" s="3">
        <v>509.42518336299997</v>
      </c>
      <c r="J198" s="3">
        <v>86.516999999999996</v>
      </c>
      <c r="K198" t="s">
        <v>45</v>
      </c>
    </row>
    <row r="199" spans="1:11" x14ac:dyDescent="0.25">
      <c r="A199" s="13">
        <v>46203</v>
      </c>
      <c r="B199" s="3">
        <v>50.787246879999998</v>
      </c>
      <c r="C199" s="3">
        <v>53.431722166</v>
      </c>
      <c r="D199" s="3">
        <v>-2.6444752860000018</v>
      </c>
      <c r="E199" s="3">
        <v>88.260999999999996</v>
      </c>
      <c r="F199" s="3">
        <v>2.0421887365480629</v>
      </c>
      <c r="G199" s="3">
        <v>-6.2428211330000067</v>
      </c>
      <c r="H199" s="3">
        <v>526.19426440300003</v>
      </c>
      <c r="J199" s="3">
        <v>89.549000000000007</v>
      </c>
      <c r="K199" t="s">
        <v>45</v>
      </c>
    </row>
    <row r="200" spans="1:11" x14ac:dyDescent="0.25">
      <c r="A200" s="13">
        <v>46234</v>
      </c>
      <c r="B200" s="3">
        <v>53.081329330000003</v>
      </c>
      <c r="C200" s="3">
        <v>56.668257918000002</v>
      </c>
      <c r="D200" s="3">
        <v>-3.5869285879999988</v>
      </c>
      <c r="E200" s="3">
        <v>84.766999999999996</v>
      </c>
      <c r="F200" s="3">
        <v>1.9032612104919999</v>
      </c>
      <c r="G200" s="3">
        <v>-12.096773082000009</v>
      </c>
      <c r="H200" s="3">
        <v>542.86400327199999</v>
      </c>
      <c r="J200" s="3">
        <v>86.100999999999999</v>
      </c>
      <c r="K200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98BE-36AB-4CE0-948E-2ADBA9B316C7}">
  <dimension ref="A1:F67"/>
  <sheetViews>
    <sheetView workbookViewId="0">
      <pane ySplit="1" topLeftCell="A2" activePane="bottomLeft" state="frozen"/>
      <selection pane="bottomLeft" activeCell="G1" sqref="G1:L1048576"/>
    </sheetView>
  </sheetViews>
  <sheetFormatPr defaultRowHeight="15" x14ac:dyDescent="0.25"/>
  <cols>
    <col min="1" max="1" width="11.42578125" customWidth="1"/>
    <col min="2" max="6" width="20" customWidth="1"/>
  </cols>
  <sheetData>
    <row r="1" spans="1:6" ht="48" customHeight="1" x14ac:dyDescent="0.25">
      <c r="A1" s="14" t="s">
        <v>68</v>
      </c>
      <c r="B1" s="14" t="s">
        <v>69</v>
      </c>
      <c r="C1" s="14" t="s">
        <v>70</v>
      </c>
      <c r="D1" s="14" t="s">
        <v>71</v>
      </c>
      <c r="E1" s="14" t="s">
        <v>72</v>
      </c>
      <c r="F1" s="14"/>
    </row>
    <row r="2" spans="1:6" x14ac:dyDescent="0.25">
      <c r="A2" t="e">
        <f>"Q"&amp;ROUNDUP(MONTH(#REF!)/3,0)&amp;"-"&amp;YEAR(#REF!)</f>
        <v>#REF!</v>
      </c>
      <c r="B2" s="16">
        <v>14.394233999999999</v>
      </c>
      <c r="C2" s="16">
        <v>17.985537000000001</v>
      </c>
      <c r="D2" s="15">
        <v>-3.5913030000000017</v>
      </c>
      <c r="E2" s="15">
        <v>1.828319747842938</v>
      </c>
      <c r="F2" s="15"/>
    </row>
    <row r="3" spans="1:6" x14ac:dyDescent="0.25">
      <c r="A3" t="e">
        <f>"Q"&amp;ROUNDUP(MONTH(#REF!)/3,0)&amp;"-"&amp;YEAR(#REF!)</f>
        <v>#REF!</v>
      </c>
      <c r="B3" s="16">
        <v>18.091343000000002</v>
      </c>
      <c r="C3" s="16">
        <v>20.956983000000001</v>
      </c>
      <c r="D3" s="15">
        <v>-2.8656399999999991</v>
      </c>
      <c r="E3" s="15">
        <v>1.828319747842938</v>
      </c>
      <c r="F3" s="15"/>
    </row>
    <row r="4" spans="1:6" x14ac:dyDescent="0.25">
      <c r="A4" t="e">
        <f>"Q"&amp;ROUNDUP(MONTH(#REF!)/3,0)&amp;"-"&amp;YEAR(#REF!)</f>
        <v>#REF!</v>
      </c>
      <c r="B4" s="16">
        <v>19.216424</v>
      </c>
      <c r="C4" s="16">
        <v>21.615331000000001</v>
      </c>
      <c r="D4" s="15">
        <v>-2.3989070000000012</v>
      </c>
      <c r="E4" s="15">
        <v>1.828319747842938</v>
      </c>
      <c r="F4" s="15"/>
    </row>
    <row r="5" spans="1:6" x14ac:dyDescent="0.25">
      <c r="A5" t="e">
        <f>"Q"&amp;ROUNDUP(MONTH(#REF!)/3,0)&amp;"-"&amp;YEAR(#REF!)</f>
        <v>#REF!</v>
      </c>
      <c r="B5" s="16">
        <v>20.534663999999999</v>
      </c>
      <c r="C5" s="16">
        <v>24.280701000000001</v>
      </c>
      <c r="D5" s="15">
        <v>-3.7460370000000012</v>
      </c>
      <c r="E5" s="15">
        <v>1.828319747842938</v>
      </c>
      <c r="F5" s="15"/>
    </row>
    <row r="6" spans="1:6" x14ac:dyDescent="0.25">
      <c r="A6" t="e">
        <f>"Q"&amp;ROUNDUP(MONTH(#REF!)/3,0)&amp;"-"&amp;YEAR(#REF!)</f>
        <v>#REF!</v>
      </c>
      <c r="B6" s="16">
        <v>19.966538</v>
      </c>
      <c r="C6" s="16">
        <v>23.458221999999999</v>
      </c>
      <c r="D6" s="15">
        <v>-3.4916839999999993</v>
      </c>
      <c r="E6" s="15">
        <v>1.6851059187684474</v>
      </c>
      <c r="F6" s="15"/>
    </row>
    <row r="7" spans="1:6" x14ac:dyDescent="0.25">
      <c r="A7" t="e">
        <f>"Q"&amp;ROUNDUP(MONTH(#REF!)/3,0)&amp;"-"&amp;YEAR(#REF!)</f>
        <v>#REF!</v>
      </c>
      <c r="B7" s="16">
        <v>23.495016</v>
      </c>
      <c r="C7" s="16">
        <v>26.863278000000001</v>
      </c>
      <c r="D7" s="15">
        <v>-3.3682620000000014</v>
      </c>
      <c r="E7" s="15">
        <v>1.9610563280712709</v>
      </c>
      <c r="F7" s="15"/>
    </row>
    <row r="8" spans="1:6" x14ac:dyDescent="0.25">
      <c r="A8" t="e">
        <f>"Q"&amp;ROUNDUP(MONTH(#REF!)/3,0)&amp;"-"&amp;YEAR(#REF!)</f>
        <v>#REF!</v>
      </c>
      <c r="B8" s="16">
        <v>27.007232999999999</v>
      </c>
      <c r="C8" s="16">
        <v>28.259855999999999</v>
      </c>
      <c r="D8" s="15">
        <v>-1.2526229999999998</v>
      </c>
      <c r="E8" s="15">
        <v>1.8518781906140569</v>
      </c>
      <c r="F8" s="15"/>
    </row>
    <row r="9" spans="1:6" x14ac:dyDescent="0.25">
      <c r="A9" t="e">
        <f>"Q"&amp;ROUNDUP(MONTH(#REF!)/3,0)&amp;"-"&amp;YEAR(#REF!)</f>
        <v>#REF!</v>
      </c>
      <c r="B9" s="16">
        <v>26.436886999999999</v>
      </c>
      <c r="C9" s="16">
        <v>28.168498999999997</v>
      </c>
      <c r="D9" s="15">
        <v>-1.7316119999999984</v>
      </c>
      <c r="E9" s="15">
        <v>1.5789435966915366</v>
      </c>
      <c r="F9" s="15"/>
    </row>
    <row r="10" spans="1:6" x14ac:dyDescent="0.25">
      <c r="A10" t="e">
        <f>"Q"&amp;ROUNDUP(MONTH(#REF!)/3,0)&amp;"-"&amp;YEAR(#REF!)</f>
        <v>#REF!</v>
      </c>
      <c r="B10" s="16">
        <v>24.853782000000002</v>
      </c>
      <c r="C10" s="16">
        <v>25.046596000000001</v>
      </c>
      <c r="D10" s="15">
        <v>-0.19281399999999849</v>
      </c>
      <c r="E10" s="15">
        <v>2.0314158910609477</v>
      </c>
      <c r="F10" s="15"/>
    </row>
    <row r="11" spans="1:6" x14ac:dyDescent="0.25">
      <c r="A11" t="e">
        <f>"Q"&amp;ROUNDUP(MONTH(#REF!)/3,0)&amp;"-"&amp;YEAR(#REF!)</f>
        <v>#REF!</v>
      </c>
      <c r="B11" s="16">
        <v>28.594867000000001</v>
      </c>
      <c r="C11" s="16">
        <v>28.986809000000001</v>
      </c>
      <c r="D11" s="15">
        <v>-0.39194200000000023</v>
      </c>
      <c r="E11" s="15">
        <v>2.2403771223634319</v>
      </c>
      <c r="F11" s="15"/>
    </row>
    <row r="12" spans="1:6" x14ac:dyDescent="0.25">
      <c r="A12" t="e">
        <f>"Q"&amp;ROUNDUP(MONTH(#REF!)/3,0)&amp;"-"&amp;YEAR(#REF!)</f>
        <v>#REF!</v>
      </c>
      <c r="B12" s="16">
        <v>29.936302999999999</v>
      </c>
      <c r="C12" s="16">
        <v>29.587157000000005</v>
      </c>
      <c r="D12" s="15">
        <v>0.34914599999999396</v>
      </c>
      <c r="E12" s="15">
        <v>2.387782826085282</v>
      </c>
      <c r="F12" s="15"/>
    </row>
    <row r="13" spans="1:6" x14ac:dyDescent="0.25">
      <c r="A13" t="e">
        <f>"Q"&amp;ROUNDUP(MONTH(#REF!)/3,0)&amp;"-"&amp;YEAR(#REF!)</f>
        <v>#REF!</v>
      </c>
      <c r="B13" s="16">
        <v>31.144217999999999</v>
      </c>
      <c r="C13" s="16">
        <v>30.159870000000002</v>
      </c>
      <c r="D13" s="15">
        <v>0.98434799999999711</v>
      </c>
      <c r="E13" s="15">
        <v>2.7540412221321144</v>
      </c>
      <c r="F13" s="15"/>
    </row>
    <row r="14" spans="1:6" x14ac:dyDescent="0.25">
      <c r="A14" t="e">
        <f>"Q"&amp;ROUNDUP(MONTH(#REF!)/3,0)&amp;"-"&amp;YEAR(#REF!)</f>
        <v>#REF!</v>
      </c>
      <c r="B14" s="16">
        <v>29.207913999999999</v>
      </c>
      <c r="C14" s="16">
        <v>28.754911</v>
      </c>
      <c r="D14" s="15">
        <v>0.45300299999999893</v>
      </c>
      <c r="E14" s="15">
        <v>2.9484015179768663</v>
      </c>
      <c r="F14" s="15"/>
    </row>
    <row r="15" spans="1:6" x14ac:dyDescent="0.25">
      <c r="A15" t="e">
        <f>"Q"&amp;ROUNDUP(MONTH(#REF!)/3,0)&amp;"-"&amp;YEAR(#REF!)</f>
        <v>#REF!</v>
      </c>
      <c r="B15" s="16">
        <v>32.479469999999999</v>
      </c>
      <c r="C15" s="16">
        <v>33.921146999999998</v>
      </c>
      <c r="D15" s="15">
        <v>-1.4416769999999985</v>
      </c>
      <c r="E15" s="15">
        <v>2.4796303736341887</v>
      </c>
      <c r="F15" s="15"/>
    </row>
    <row r="16" spans="1:6" x14ac:dyDescent="0.25">
      <c r="A16" t="e">
        <f>"Q"&amp;ROUNDUP(MONTH(#REF!)/3,0)&amp;"-"&amp;YEAR(#REF!)</f>
        <v>#REF!</v>
      </c>
      <c r="B16" s="16">
        <v>34.354759999999999</v>
      </c>
      <c r="C16" s="16">
        <v>33.777380999999998</v>
      </c>
      <c r="D16" s="15">
        <v>0.57737900000000053</v>
      </c>
      <c r="E16" s="15">
        <v>2.3559608571639181</v>
      </c>
      <c r="F16" s="15"/>
    </row>
    <row r="17" spans="1:6" x14ac:dyDescent="0.25">
      <c r="A17" t="e">
        <f>"Q"&amp;ROUNDUP(MONTH(#REF!)/3,0)&amp;"-"&amp;YEAR(#REF!)</f>
        <v>#REF!</v>
      </c>
      <c r="B17" s="16">
        <v>35.99071</v>
      </c>
      <c r="C17" s="16">
        <v>35.579118000000001</v>
      </c>
      <c r="D17" s="15">
        <v>0.41159199999999885</v>
      </c>
      <c r="E17" s="15">
        <v>2.3891380063176384</v>
      </c>
      <c r="F17" s="15"/>
    </row>
    <row r="18" spans="1:6" x14ac:dyDescent="0.25">
      <c r="A18" t="e">
        <f>"Q"&amp;ROUNDUP(MONTH(#REF!)/3,0)&amp;"-"&amp;YEAR(#REF!)</f>
        <v>#REF!</v>
      </c>
      <c r="B18" s="16">
        <v>33.383896999999997</v>
      </c>
      <c r="C18" s="16">
        <v>32.259616000000001</v>
      </c>
      <c r="D18" s="15">
        <v>1.1242809999999963</v>
      </c>
      <c r="E18" s="15">
        <v>3.0257361993929015</v>
      </c>
      <c r="F18" s="15"/>
    </row>
    <row r="19" spans="1:6" x14ac:dyDescent="0.25">
      <c r="A19" t="e">
        <f>"Q"&amp;ROUNDUP(MONTH(#REF!)/3,0)&amp;"-"&amp;YEAR(#REF!)</f>
        <v>#REF!</v>
      </c>
      <c r="B19" s="16">
        <v>37.777819000000001</v>
      </c>
      <c r="C19" s="16">
        <v>36.98574</v>
      </c>
      <c r="D19" s="15">
        <v>0.79207900000000109</v>
      </c>
      <c r="E19" s="15">
        <v>3.1365813971248802</v>
      </c>
      <c r="F19" s="15"/>
    </row>
    <row r="20" spans="1:6" x14ac:dyDescent="0.25">
      <c r="A20" t="e">
        <f>"Q"&amp;ROUNDUP(MONTH(#REF!)/3,0)&amp;"-"&amp;YEAR(#REF!)</f>
        <v>#REF!</v>
      </c>
      <c r="B20" s="16">
        <v>38.920615999999995</v>
      </c>
      <c r="C20" s="16">
        <v>38.208877000000001</v>
      </c>
      <c r="D20" s="15">
        <v>0.71173899999999435</v>
      </c>
      <c r="E20" s="15">
        <v>3.1224605791414342</v>
      </c>
      <c r="F20" s="15"/>
    </row>
    <row r="21" spans="1:6" x14ac:dyDescent="0.25">
      <c r="A21" t="e">
        <f>"Q"&amp;ROUNDUP(MONTH(#REF!)/3,0)&amp;"-"&amp;YEAR(#REF!)</f>
        <v>#REF!</v>
      </c>
      <c r="B21" s="16">
        <v>40.134992000000004</v>
      </c>
      <c r="C21" s="16">
        <v>40.394848000000003</v>
      </c>
      <c r="D21" s="15">
        <v>-0.2598559999999992</v>
      </c>
      <c r="E21" s="15">
        <v>2.8062399657391177</v>
      </c>
      <c r="F21" s="15"/>
    </row>
    <row r="22" spans="1:6" x14ac:dyDescent="0.25">
      <c r="A22" t="e">
        <f>"Q"&amp;ROUNDUP(MONTH(#REF!)/3,0)&amp;"-"&amp;YEAR(#REF!)</f>
        <v>#REF!</v>
      </c>
      <c r="B22" s="16">
        <v>36.390826000000004</v>
      </c>
      <c r="C22" s="16">
        <v>38.998902999999999</v>
      </c>
      <c r="D22" s="15">
        <v>-2.6080769999999944</v>
      </c>
      <c r="E22" s="15">
        <v>2.8951984278661889</v>
      </c>
      <c r="F22" s="15"/>
    </row>
    <row r="23" spans="1:6" x14ac:dyDescent="0.25">
      <c r="A23" t="e">
        <f>"Q"&amp;ROUNDUP(MONTH(#REF!)/3,0)&amp;"-"&amp;YEAR(#REF!)</f>
        <v>#REF!</v>
      </c>
      <c r="B23" s="16">
        <v>41.301175000000001</v>
      </c>
      <c r="C23" s="16">
        <v>42.118911000000004</v>
      </c>
      <c r="D23" s="15">
        <v>-0.81773600000000357</v>
      </c>
      <c r="E23" s="15">
        <v>2.8314528073762171</v>
      </c>
      <c r="F23" s="15"/>
    </row>
    <row r="24" spans="1:6" x14ac:dyDescent="0.25">
      <c r="A24" t="e">
        <f>"Q"&amp;ROUNDUP(MONTH(#REF!)/3,0)&amp;"-"&amp;YEAR(#REF!)</f>
        <v>#REF!</v>
      </c>
      <c r="B24" s="16">
        <v>42.458519000000003</v>
      </c>
      <c r="C24" s="16">
        <v>42.671733000000003</v>
      </c>
      <c r="D24" s="15">
        <v>-0.21321400000000068</v>
      </c>
      <c r="E24" s="15">
        <v>2.2675723840868063</v>
      </c>
      <c r="F24" s="15"/>
    </row>
    <row r="25" spans="1:6" x14ac:dyDescent="0.25">
      <c r="A25" t="e">
        <f>"Q"&amp;ROUNDUP(MONTH(#REF!)/3,0)&amp;"-"&amp;YEAR(#REF!)</f>
        <v>#REF!</v>
      </c>
      <c r="B25" s="16">
        <v>41.866393000000002</v>
      </c>
      <c r="C25" s="16">
        <v>41.780873999999997</v>
      </c>
      <c r="D25" s="15">
        <v>8.5519000000005008E-2</v>
      </c>
      <c r="E25" s="15">
        <v>2.073993639238255</v>
      </c>
      <c r="F25" s="15"/>
    </row>
    <row r="26" spans="1:6" x14ac:dyDescent="0.25">
      <c r="A26" t="e">
        <f>"Q"&amp;ROUNDUP(MONTH(#REF!)/3,0)&amp;"-"&amp;YEAR(#REF!)</f>
        <v>#REF!</v>
      </c>
      <c r="B26" s="16">
        <v>38.783892999999999</v>
      </c>
      <c r="C26" s="16">
        <v>37.463317000000004</v>
      </c>
      <c r="D26" s="15">
        <v>1.3205759999999955</v>
      </c>
      <c r="E26" s="15">
        <v>2.3422098117146883</v>
      </c>
      <c r="F26" s="15"/>
    </row>
    <row r="27" spans="1:6" x14ac:dyDescent="0.25">
      <c r="A27" t="e">
        <f>"Q"&amp;ROUNDUP(MONTH(#REF!)/3,0)&amp;"-"&amp;YEAR(#REF!)</f>
        <v>#REF!</v>
      </c>
      <c r="B27" s="16">
        <v>43.460047000000003</v>
      </c>
      <c r="C27" s="16">
        <v>43.492494000000001</v>
      </c>
      <c r="D27" s="15">
        <v>-3.2446999999997672E-2</v>
      </c>
      <c r="E27" s="15">
        <v>2.5693492818485213</v>
      </c>
      <c r="F27" s="15"/>
    </row>
    <row r="28" spans="1:6" x14ac:dyDescent="0.25">
      <c r="A28" t="e">
        <f>"Q"&amp;ROUNDUP(MONTH(#REF!)/3,0)&amp;"-"&amp;YEAR(#REF!)</f>
        <v>#REF!</v>
      </c>
      <c r="B28" s="16">
        <v>46.313184999999997</v>
      </c>
      <c r="C28" s="16">
        <v>44.571933999999999</v>
      </c>
      <c r="D28" s="15">
        <v>1.7412509999999983</v>
      </c>
      <c r="E28" s="15">
        <v>2.7294469509667043</v>
      </c>
      <c r="F28" s="15"/>
    </row>
    <row r="29" spans="1:6" x14ac:dyDescent="0.25">
      <c r="A29" t="e">
        <f>"Q"&amp;ROUNDUP(MONTH(#REF!)/3,0)&amp;"-"&amp;YEAR(#REF!)</f>
        <v>#REF!</v>
      </c>
      <c r="B29" s="16">
        <v>48.023691999999997</v>
      </c>
      <c r="C29" s="16">
        <v>49.276054999999999</v>
      </c>
      <c r="D29" s="15">
        <v>-1.2523630000000026</v>
      </c>
      <c r="E29" s="15">
        <v>2.5335376004411803</v>
      </c>
      <c r="F29" s="15"/>
    </row>
    <row r="30" spans="1:6" x14ac:dyDescent="0.25">
      <c r="A30" t="e">
        <f>"Q"&amp;ROUNDUP(MONTH(#REF!)/3,0)&amp;"-"&amp;YEAR(#REF!)</f>
        <v>#REF!</v>
      </c>
      <c r="B30" s="16">
        <v>44.888103999999998</v>
      </c>
      <c r="C30" s="16">
        <v>46.997636</v>
      </c>
      <c r="D30" s="15">
        <v>-2.1095320000000015</v>
      </c>
      <c r="E30" s="15">
        <v>2.4888178445609501</v>
      </c>
      <c r="F30" s="15"/>
    </row>
    <row r="31" spans="1:6" x14ac:dyDescent="0.25">
      <c r="A31" t="e">
        <f>"Q"&amp;ROUNDUP(MONTH(#REF!)/3,0)&amp;"-"&amp;YEAR(#REF!)</f>
        <v>#REF!</v>
      </c>
      <c r="B31" s="16">
        <v>53.2502</v>
      </c>
      <c r="C31" s="16">
        <v>54.085722000000004</v>
      </c>
      <c r="D31" s="15">
        <v>-0.83552200000000454</v>
      </c>
      <c r="E31" s="15">
        <v>2.4378428986077858</v>
      </c>
      <c r="F31" s="15"/>
    </row>
    <row r="32" spans="1:6" x14ac:dyDescent="0.25">
      <c r="A32" t="e">
        <f>"Q"&amp;ROUNDUP(MONTH(#REF!)/3,0)&amp;"-"&amp;YEAR(#REF!)</f>
        <v>#REF!</v>
      </c>
      <c r="B32" s="16">
        <v>56.810108999999997</v>
      </c>
      <c r="C32" s="16">
        <v>54.057903999999994</v>
      </c>
      <c r="D32" s="15">
        <v>2.7522050000000036</v>
      </c>
      <c r="E32" s="15">
        <v>2.452336266599175</v>
      </c>
      <c r="F32" s="15"/>
    </row>
    <row r="33" spans="1:6" x14ac:dyDescent="0.25">
      <c r="A33" t="e">
        <f>"Q"&amp;ROUNDUP(MONTH(#REF!)/3,0)&amp;"-"&amp;YEAR(#REF!)</f>
        <v>#REF!</v>
      </c>
      <c r="B33" s="16">
        <v>60.094397999999998</v>
      </c>
      <c r="C33" s="16">
        <v>57.865456999999999</v>
      </c>
      <c r="D33" s="15">
        <v>2.228940999999999</v>
      </c>
      <c r="E33" s="15">
        <v>2.7884754189373719</v>
      </c>
      <c r="F33" s="15"/>
    </row>
    <row r="34" spans="1:6" x14ac:dyDescent="0.25">
      <c r="A34" t="e">
        <f>"Q"&amp;ROUNDUP(MONTH(#REF!)/3,0)&amp;"-"&amp;YEAR(#REF!)</f>
        <v>#REF!</v>
      </c>
      <c r="B34" s="16">
        <v>55.907886000000005</v>
      </c>
      <c r="C34" s="16">
        <v>53.230209000000002</v>
      </c>
      <c r="D34" s="15">
        <v>2.6776770000000027</v>
      </c>
      <c r="E34" s="15">
        <v>3.1032393591199883</v>
      </c>
      <c r="F34" s="15"/>
    </row>
    <row r="35" spans="1:6" x14ac:dyDescent="0.25">
      <c r="A35" t="e">
        <f>"Q"&amp;ROUNDUP(MONTH(#REF!)/3,0)&amp;"-"&amp;YEAR(#REF!)</f>
        <v>#REF!</v>
      </c>
      <c r="B35" s="16">
        <v>58.412936999999999</v>
      </c>
      <c r="C35" s="16">
        <v>57.831313000000002</v>
      </c>
      <c r="D35" s="15">
        <v>0.58162399999999792</v>
      </c>
      <c r="E35" s="15">
        <v>3.1302749792235915</v>
      </c>
      <c r="F35" s="15"/>
    </row>
    <row r="36" spans="1:6" x14ac:dyDescent="0.25">
      <c r="A36" t="e">
        <f>"Q"&amp;ROUNDUP(MONTH(#REF!)/3,0)&amp;"-"&amp;YEAR(#REF!)</f>
        <v>#REF!</v>
      </c>
      <c r="B36" s="16">
        <v>65.229816999999997</v>
      </c>
      <c r="C36" s="16">
        <v>61.992498999999995</v>
      </c>
      <c r="D36" s="15">
        <v>3.2373180000000019</v>
      </c>
      <c r="E36" s="15">
        <v>2.9823902512026295</v>
      </c>
      <c r="F36" s="15"/>
    </row>
    <row r="37" spans="1:6" x14ac:dyDescent="0.25">
      <c r="A37" t="e">
        <f>"Q"&amp;ROUNDUP(MONTH(#REF!)/3,0)&amp;"-"&amp;YEAR(#REF!)</f>
        <v>#REF!</v>
      </c>
      <c r="B37" s="16">
        <v>64.100373999999988</v>
      </c>
      <c r="C37" s="16">
        <v>63.814835000000002</v>
      </c>
      <c r="D37" s="15">
        <v>0.28553899999998578</v>
      </c>
      <c r="E37" s="15">
        <v>2.8303256549691787</v>
      </c>
      <c r="F37" s="15"/>
    </row>
    <row r="38" spans="1:6" x14ac:dyDescent="0.25">
      <c r="A38" t="e">
        <f>"Q"&amp;ROUNDUP(MONTH(#REF!)/3,0)&amp;"-"&amp;YEAR(#REF!)</f>
        <v>#REF!</v>
      </c>
      <c r="B38" s="16">
        <v>58.819302999999998</v>
      </c>
      <c r="C38" s="16">
        <v>57.404049000000001</v>
      </c>
      <c r="D38" s="15">
        <v>1.4152539999999973</v>
      </c>
      <c r="E38" s="15">
        <v>3.1262179377548951</v>
      </c>
      <c r="F38" s="15"/>
    </row>
    <row r="39" spans="1:6" x14ac:dyDescent="0.25">
      <c r="A39" t="e">
        <f>"Q"&amp;ROUNDUP(MONTH(#REF!)/3,0)&amp;"-"&amp;YEAR(#REF!)</f>
        <v>#REF!</v>
      </c>
      <c r="B39" s="16">
        <v>63.743893999999997</v>
      </c>
      <c r="C39" s="16">
        <v>63.440964999999998</v>
      </c>
      <c r="D39" s="15">
        <v>0.30292899999999889</v>
      </c>
      <c r="E39" s="15">
        <v>3.1496476976574335</v>
      </c>
      <c r="F39" s="15"/>
    </row>
    <row r="40" spans="1:6" x14ac:dyDescent="0.25">
      <c r="A40" t="e">
        <f>"Q"&amp;ROUNDUP(MONTH(#REF!)/3,0)&amp;"-"&amp;YEAR(#REF!)</f>
        <v>#REF!</v>
      </c>
      <c r="B40" s="16">
        <v>72.086567000000002</v>
      </c>
      <c r="C40" s="16">
        <v>66.529957999999993</v>
      </c>
      <c r="D40" s="15">
        <v>5.5566090000000088</v>
      </c>
      <c r="E40" s="15">
        <v>3.3284630852875337</v>
      </c>
      <c r="F40" s="15"/>
    </row>
    <row r="41" spans="1:6" x14ac:dyDescent="0.25">
      <c r="A41" t="e">
        <f>"Q"&amp;ROUNDUP(MONTH(#REF!)/3,0)&amp;"-"&amp;YEAR(#REF!)</f>
        <v>#REF!</v>
      </c>
      <c r="B41" s="16">
        <v>69.617875999999995</v>
      </c>
      <c r="C41" s="16">
        <v>66.018494000000004</v>
      </c>
      <c r="D41" s="15">
        <v>3.5993819999999914</v>
      </c>
      <c r="E41" s="15">
        <v>3.7322193619625534</v>
      </c>
      <c r="F41" s="15"/>
    </row>
    <row r="42" spans="1:6" x14ac:dyDescent="0.25">
      <c r="A42" t="e">
        <f>"Q"&amp;ROUNDUP(MONTH(#REF!)/3,0)&amp;"-"&amp;YEAR(#REF!)</f>
        <v>#REF!</v>
      </c>
      <c r="B42" s="16">
        <v>63.398260000000001</v>
      </c>
      <c r="C42" s="16">
        <v>59.586403000000004</v>
      </c>
      <c r="D42" s="15">
        <v>3.8118569999999963</v>
      </c>
      <c r="E42" s="15">
        <v>3.8597078549919153</v>
      </c>
      <c r="F42" s="15"/>
    </row>
    <row r="43" spans="1:6" x14ac:dyDescent="0.25">
      <c r="A43" t="e">
        <f>"Q"&amp;ROUNDUP(MONTH(#REF!)/3,0)&amp;"-"&amp;YEAR(#REF!)</f>
        <v>#REF!</v>
      </c>
      <c r="B43" s="16">
        <v>59.366510999999996</v>
      </c>
      <c r="C43" s="16">
        <v>57.314206999999996</v>
      </c>
      <c r="D43" s="15">
        <v>2.0523039999999995</v>
      </c>
      <c r="E43" s="15">
        <v>4.0563471832177109</v>
      </c>
      <c r="F43" s="15"/>
    </row>
    <row r="44" spans="1:6" x14ac:dyDescent="0.25">
      <c r="A44" t="e">
        <f>"Q"&amp;ROUNDUP(MONTH(#REF!)/3,0)&amp;"-"&amp;YEAR(#REF!)</f>
        <v>#REF!</v>
      </c>
      <c r="B44" s="16">
        <v>79.775878000000006</v>
      </c>
      <c r="C44" s="16">
        <v>68.980241000000007</v>
      </c>
      <c r="D44" s="15">
        <v>10.795636999999999</v>
      </c>
      <c r="E44" s="15">
        <v>4.2567955069513976</v>
      </c>
      <c r="F44" s="15"/>
    </row>
    <row r="45" spans="1:6" x14ac:dyDescent="0.25">
      <c r="A45" t="e">
        <f>"Q"&amp;ROUNDUP(MONTH(#REF!)/3,0)&amp;"-"&amp;YEAR(#REF!)</f>
        <v>#REF!</v>
      </c>
      <c r="B45" s="16">
        <v>80.088290000000001</v>
      </c>
      <c r="C45" s="16">
        <v>76.809843999999998</v>
      </c>
      <c r="D45" s="15">
        <v>3.2784460000000024</v>
      </c>
      <c r="E45" s="15">
        <v>4.3603523908602853</v>
      </c>
      <c r="F45" s="15"/>
    </row>
    <row r="46" spans="1:6" x14ac:dyDescent="0.25">
      <c r="A46" t="e">
        <f>"Q"&amp;ROUNDUP(MONTH(#REF!)/3,0)&amp;"-"&amp;YEAR(#REF!)</f>
        <v>#REF!</v>
      </c>
      <c r="B46" s="16">
        <v>78.555440630000007</v>
      </c>
      <c r="C46" s="16">
        <v>76.099745178999996</v>
      </c>
      <c r="D46" s="15">
        <v>2.4556954510000111</v>
      </c>
      <c r="E46" s="15">
        <v>4.2488927165456714</v>
      </c>
      <c r="F46" s="15"/>
    </row>
    <row r="47" spans="1:6" x14ac:dyDescent="0.25">
      <c r="A47" t="e">
        <f>"Q"&amp;ROUNDUP(MONTH(#REF!)/3,0)&amp;"-"&amp;YEAR(#REF!)</f>
        <v>#REF!</v>
      </c>
      <c r="B47" s="16">
        <v>80.013301310000003</v>
      </c>
      <c r="C47" s="16">
        <v>84.326898624999998</v>
      </c>
      <c r="D47" s="15">
        <v>-4.3135973149999955</v>
      </c>
      <c r="E47" s="15">
        <v>3.9497123645852277</v>
      </c>
      <c r="F47" s="15"/>
    </row>
    <row r="48" spans="1:6" x14ac:dyDescent="0.25">
      <c r="A48" t="e">
        <f>"Q"&amp;ROUNDUP(MONTH(#REF!)/3,0)&amp;"-"&amp;YEAR(#REF!)</f>
        <v>#REF!</v>
      </c>
      <c r="B48" s="16">
        <v>82.314934059999999</v>
      </c>
      <c r="C48" s="16">
        <v>83.895301455999999</v>
      </c>
      <c r="D48" s="15">
        <v>-1.5803673959999998</v>
      </c>
      <c r="E48" s="15">
        <v>4.0260853744168488</v>
      </c>
      <c r="F48" s="15"/>
    </row>
    <row r="49" spans="1:6" x14ac:dyDescent="0.25">
      <c r="A49" t="e">
        <f>"Q"&amp;ROUNDUP(MONTH(#REF!)/3,0)&amp;"-"&amp;YEAR(#REF!)</f>
        <v>#REF!</v>
      </c>
      <c r="B49" s="16">
        <v>95.283163580000007</v>
      </c>
      <c r="C49" s="16">
        <v>88.520617137000002</v>
      </c>
      <c r="D49" s="15">
        <v>6.7625464430000051</v>
      </c>
      <c r="E49" s="15">
        <v>3.9645049914803008</v>
      </c>
      <c r="F49" s="15"/>
    </row>
    <row r="50" spans="1:6" x14ac:dyDescent="0.25">
      <c r="A50" t="e">
        <f>"Q"&amp;ROUNDUP(MONTH(#REF!)/3,0)&amp;"-"&amp;YEAR(#REF!)</f>
        <v>#REF!</v>
      </c>
      <c r="B50" s="16">
        <v>88.973164670000003</v>
      </c>
      <c r="C50" s="16">
        <v>87.492468185999996</v>
      </c>
      <c r="D50" s="15">
        <v>1.4806964840000063</v>
      </c>
      <c r="E50" s="15">
        <v>3.795160041384936</v>
      </c>
      <c r="F50" s="15"/>
    </row>
    <row r="51" spans="1:6" x14ac:dyDescent="0.25">
      <c r="A51" t="e">
        <f>"Q"&amp;ROUNDUP(MONTH(#REF!)/3,0)&amp;"-"&amp;YEAR(#REF!)</f>
        <v>#REF!</v>
      </c>
      <c r="B51" s="16">
        <v>97.078050480000002</v>
      </c>
      <c r="C51" s="16">
        <v>97.316408819999992</v>
      </c>
      <c r="D51" s="15">
        <v>-0.23835833999999068</v>
      </c>
      <c r="E51" s="15">
        <v>3.4886939970397974</v>
      </c>
      <c r="F51" s="15"/>
    </row>
    <row r="52" spans="1:6" x14ac:dyDescent="0.25">
      <c r="A52" t="e">
        <f>"Q"&amp;ROUNDUP(MONTH(#REF!)/3,0)&amp;"-"&amp;YEAR(#REF!)</f>
        <v>#REF!</v>
      </c>
      <c r="B52" s="16">
        <v>93.92749001</v>
      </c>
      <c r="C52" s="16">
        <v>90.293121209000006</v>
      </c>
      <c r="D52" s="15">
        <v>3.6343688009999937</v>
      </c>
      <c r="E52" s="15">
        <v>2.9082349539131425</v>
      </c>
      <c r="F52" s="15"/>
    </row>
    <row r="53" spans="1:6" x14ac:dyDescent="0.25">
      <c r="A53" t="e">
        <f>"Q"&amp;ROUNDUP(MONTH(#REF!)/3,0)&amp;"-"&amp;YEAR(#REF!)</f>
        <v>#REF!</v>
      </c>
      <c r="B53" s="16">
        <v>89.11</v>
      </c>
      <c r="C53" s="16">
        <v>85.56</v>
      </c>
      <c r="D53" s="15">
        <v>3.5499999999999972</v>
      </c>
      <c r="E53" s="15">
        <v>2.8990356765469576</v>
      </c>
      <c r="F53" s="15"/>
    </row>
    <row r="54" spans="1:6" x14ac:dyDescent="0.25">
      <c r="A54" t="e">
        <f>"Q"&amp;ROUNDUP(MONTH(#REF!)/3,0)&amp;"-"&amp;YEAR(#REF!)</f>
        <v>#REF!</v>
      </c>
      <c r="B54" s="16">
        <v>89.02000000000001</v>
      </c>
      <c r="C54" s="16">
        <v>83.15</v>
      </c>
      <c r="D54" s="15">
        <v>5.8700000000000045</v>
      </c>
      <c r="E54" s="15">
        <v>2.9924601660571861</v>
      </c>
      <c r="F54" s="15"/>
    </row>
    <row r="55" spans="1:6" x14ac:dyDescent="0.25">
      <c r="A55" t="e">
        <f>"Q"&amp;ROUNDUP(MONTH(#REF!)/3,0)&amp;"-"&amp;YEAR(#REF!)</f>
        <v>#REF!</v>
      </c>
      <c r="B55" s="16">
        <v>84.38</v>
      </c>
      <c r="C55" s="16">
        <v>81.06</v>
      </c>
      <c r="D55" s="15">
        <v>3.3199999999999932</v>
      </c>
      <c r="E55" s="15">
        <v>3.2368931864372592</v>
      </c>
      <c r="F55" s="15"/>
    </row>
    <row r="56" spans="1:6" x14ac:dyDescent="0.25">
      <c r="A56" t="e">
        <f>"Q"&amp;ROUNDUP(MONTH(#REF!)/3,0)&amp;"-"&amp;YEAR(#REF!)</f>
        <v>#REF!</v>
      </c>
      <c r="B56" s="16">
        <v>93.46</v>
      </c>
      <c r="C56" s="16">
        <v>85.2</v>
      </c>
      <c r="D56" s="15">
        <v>8.2599999999999909</v>
      </c>
      <c r="E56" s="15">
        <v>3.2271069050959778</v>
      </c>
      <c r="F56" s="15"/>
    </row>
    <row r="57" spans="1:6" x14ac:dyDescent="0.25">
      <c r="A57" t="e">
        <f>"Q"&amp;ROUNDUP(MONTH(#REF!)/3,0)&amp;"-"&amp;YEAR(#REF!)</f>
        <v>#REF!</v>
      </c>
      <c r="B57" s="16">
        <v>93.3</v>
      </c>
      <c r="C57" s="16">
        <v>89.74</v>
      </c>
      <c r="D57" s="15">
        <v>3.5600000000000023</v>
      </c>
      <c r="E57" s="15">
        <v>3.2873595754091109</v>
      </c>
      <c r="F57" s="15"/>
    </row>
    <row r="58" spans="1:6" x14ac:dyDescent="0.25">
      <c r="A58" t="e">
        <f>"Q"&amp;ROUNDUP(MONTH(#REF!)/3,0)&amp;"-"&amp;YEAR(#REF!)</f>
        <v>#REF!</v>
      </c>
      <c r="B58" s="16">
        <v>92.4</v>
      </c>
      <c r="C58" s="16">
        <v>85.449999999999989</v>
      </c>
      <c r="D58" s="15">
        <v>6.9500000000000171</v>
      </c>
      <c r="E58" s="15">
        <v>3.2220940108361402</v>
      </c>
      <c r="F58" s="15"/>
    </row>
    <row r="59" spans="1:6" x14ac:dyDescent="0.25">
      <c r="A59" t="e">
        <f>"Q"&amp;ROUNDUP(MONTH(#REF!)/3,0)&amp;"-"&amp;YEAR(#REF!)</f>
        <v>#REF!</v>
      </c>
      <c r="B59" s="16">
        <v>96.84</v>
      </c>
      <c r="C59" s="16">
        <v>94.22</v>
      </c>
      <c r="D59" s="15">
        <v>2.6200000000000045</v>
      </c>
      <c r="E59" s="15">
        <v>2.8918304616339081</v>
      </c>
      <c r="F59" s="15"/>
    </row>
    <row r="60" spans="1:6" x14ac:dyDescent="0.25">
      <c r="A60" t="e">
        <f>"Q"&amp;ROUNDUP(MONTH(#REF!)/3,0)&amp;"-"&amp;YEAR(#REF!)</f>
        <v>#REF!</v>
      </c>
      <c r="B60" s="16">
        <v>107.55929719000001</v>
      </c>
      <c r="C60" s="16">
        <v>98.617882687999995</v>
      </c>
      <c r="D60" s="15">
        <v>8.9414145020000149</v>
      </c>
      <c r="E60" s="15">
        <v>2.7765178891792655</v>
      </c>
      <c r="F60" s="15"/>
    </row>
    <row r="61" spans="1:6" x14ac:dyDescent="0.25">
      <c r="A61" t="e">
        <f>"Q"&amp;ROUNDUP(MONTH(#REF!)/3,0)&amp;"-"&amp;YEAR(#REF!)</f>
        <v>#REF!</v>
      </c>
      <c r="B61" s="16">
        <v>104.85017934000001</v>
      </c>
      <c r="C61" s="16">
        <v>101.27261641600001</v>
      </c>
      <c r="D61" s="15">
        <v>3.5775629240000058</v>
      </c>
      <c r="E61" s="15">
        <v>2.6535216451067889</v>
      </c>
      <c r="F61" s="15"/>
    </row>
    <row r="62" spans="1:6" x14ac:dyDescent="0.25">
      <c r="A62" t="e">
        <f>"Q"&amp;ROUNDUP(MONTH(#REF!)/3,0)&amp;"-"&amp;YEAR(#REF!)</f>
        <v>#REF!</v>
      </c>
      <c r="B62" s="16">
        <v>102.70445067999998</v>
      </c>
      <c r="C62" s="16">
        <v>99.595089224999995</v>
      </c>
      <c r="D62" s="15">
        <v>3.1093614549999842</v>
      </c>
      <c r="E62" s="15">
        <v>2.546755823953704</v>
      </c>
      <c r="F62" s="15"/>
    </row>
    <row r="63" spans="1:6" x14ac:dyDescent="0.25">
      <c r="A63" t="e">
        <f>"Q"&amp;ROUNDUP(MONTH(#REF!)/3,0)&amp;"-"&amp;YEAR(#REF!)</f>
        <v>#REF!</v>
      </c>
      <c r="B63" s="16">
        <v>116.52994965999999</v>
      </c>
      <c r="C63" s="16">
        <v>112.57626982899998</v>
      </c>
      <c r="D63" s="15">
        <v>3.9536798310000023</v>
      </c>
      <c r="E63" s="15">
        <v>2.4499913787529</v>
      </c>
      <c r="F63" s="15"/>
    </row>
    <row r="64" spans="1:6" x14ac:dyDescent="0.25">
      <c r="A64" t="e">
        <f>"Q"&amp;ROUNDUP(MONTH(#REF!)/3,0)&amp;"-"&amp;YEAR(#REF!)</f>
        <v>#REF!</v>
      </c>
      <c r="B64" s="16">
        <v>128.32220361</v>
      </c>
      <c r="C64" s="16">
        <v>122.33812991100001</v>
      </c>
      <c r="D64" s="15">
        <v>5.9840736989999925</v>
      </c>
      <c r="E64" s="15">
        <v>2.3522397715339798</v>
      </c>
      <c r="F64" s="15"/>
    </row>
    <row r="65" spans="1:6" x14ac:dyDescent="0.25">
      <c r="A65" t="e">
        <f>"Q"&amp;ROUNDUP(MONTH(#REF!)/3,0)&amp;"-"&amp;YEAR(#REF!)</f>
        <v>#REF!</v>
      </c>
      <c r="B65" s="16">
        <v>125.21101640000001</v>
      </c>
      <c r="C65" s="16">
        <v>122.11477161900001</v>
      </c>
      <c r="D65" s="15">
        <v>3.0962447809999958</v>
      </c>
      <c r="E65" s="15">
        <v>2.2848983071237154</v>
      </c>
      <c r="F65" s="15"/>
    </row>
    <row r="66" spans="1:6" x14ac:dyDescent="0.25">
      <c r="A66" t="e">
        <f>"Q"&amp;ROUNDUP(MONTH(#REF!)/3,0)&amp;"-"&amp;YEAR(#REF!)</f>
        <v>#REF!</v>
      </c>
      <c r="B66" s="16">
        <v>122.71539588000002</v>
      </c>
      <c r="C66" s="16">
        <v>126.18900212299999</v>
      </c>
      <c r="D66" s="15">
        <v>-3.4736062429999777</v>
      </c>
      <c r="E66" s="15">
        <v>2.1566655750765551</v>
      </c>
      <c r="F66" s="15"/>
    </row>
    <row r="67" spans="1:6" x14ac:dyDescent="0.25">
      <c r="A67" t="e">
        <f>"Q"&amp;ROUNDUP(MONTH(#REF!)/3,0)&amp;"-"&amp;YEAR(#REF!)</f>
        <v>#REF!</v>
      </c>
      <c r="B67" s="16">
        <v>143.70282738</v>
      </c>
      <c r="C67" s="16">
        <v>155.55236074999999</v>
      </c>
      <c r="D67" s="15">
        <v>-11.849533369999989</v>
      </c>
      <c r="E67" s="15">
        <v>2.0421887365480633</v>
      </c>
      <c r="F67" s="15"/>
    </row>
  </sheetData>
  <conditionalFormatting sqref="A2:F67">
    <cfRule type="expression" dxfId="0" priority="2">
      <formula>#REF!&lt;3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G42" sqref="G42"/>
    </sheetView>
  </sheetViews>
  <sheetFormatPr defaultRowHeight="15" x14ac:dyDescent="0.25"/>
  <cols>
    <col min="1" max="1" width="10.42578125" bestFit="1" customWidth="1"/>
    <col min="2" max="8" width="12" customWidth="1"/>
    <col min="9" max="9" width="13" customWidth="1"/>
    <col min="10" max="10" width="30" customWidth="1"/>
    <col min="11" max="11" width="29" customWidth="1"/>
    <col min="12" max="12" width="31" customWidth="1"/>
    <col min="13" max="13" width="29" customWidth="1"/>
    <col min="14" max="14" width="45" customWidth="1"/>
  </cols>
  <sheetData>
    <row r="1" spans="1:14" x14ac:dyDescent="0.25">
      <c r="A1" s="1" t="s">
        <v>0</v>
      </c>
      <c r="B1" s="1" t="s">
        <v>46</v>
      </c>
      <c r="C1" s="1" t="s">
        <v>47</v>
      </c>
      <c r="D1" s="1" t="s">
        <v>48</v>
      </c>
      <c r="E1" s="1" t="s">
        <v>52</v>
      </c>
      <c r="F1" s="1" t="s">
        <v>53</v>
      </c>
      <c r="G1" s="1" t="s">
        <v>49</v>
      </c>
      <c r="H1" s="1" t="s">
        <v>50</v>
      </c>
      <c r="I1" s="1" t="s">
        <v>51</v>
      </c>
      <c r="J1" s="1" t="s">
        <v>54</v>
      </c>
      <c r="K1" s="1" t="s">
        <v>55</v>
      </c>
      <c r="L1" s="1" t="s">
        <v>56</v>
      </c>
      <c r="M1" s="1" t="s">
        <v>57</v>
      </c>
      <c r="N1" t="s">
        <v>58</v>
      </c>
    </row>
    <row r="2" spans="1:14" x14ac:dyDescent="0.25">
      <c r="A2" s="13">
        <v>42460</v>
      </c>
      <c r="B2" s="3">
        <v>78.5</v>
      </c>
      <c r="C2" s="3">
        <v>71.400000000000006</v>
      </c>
      <c r="D2" s="3">
        <v>84.6</v>
      </c>
      <c r="E2" s="3">
        <v>103</v>
      </c>
      <c r="F2" s="3">
        <v>110.6</v>
      </c>
      <c r="G2" s="3">
        <v>99.8</v>
      </c>
      <c r="H2" s="3">
        <v>90.7</v>
      </c>
      <c r="I2" s="3">
        <v>76.2</v>
      </c>
      <c r="J2" s="17">
        <v>4797202</v>
      </c>
      <c r="K2" s="18"/>
      <c r="L2" s="18"/>
      <c r="M2" s="18"/>
      <c r="N2" s="19" t="str">
        <f t="shared" ref="N2:N9" si="0">IF(AND(ISNUMBER(J2),ISNUMBER(M2)),J2/M2*100,"")</f>
        <v/>
      </c>
    </row>
    <row r="3" spans="1:14" x14ac:dyDescent="0.25">
      <c r="A3" s="13">
        <v>42551</v>
      </c>
      <c r="B3" s="3">
        <v>78.5</v>
      </c>
      <c r="C3" s="3">
        <v>70.8</v>
      </c>
      <c r="D3" s="3">
        <v>83.4</v>
      </c>
      <c r="E3" s="3">
        <v>103</v>
      </c>
      <c r="F3" s="3">
        <v>111.6</v>
      </c>
      <c r="G3" s="3">
        <v>98.4</v>
      </c>
      <c r="H3" s="3">
        <v>91.6</v>
      </c>
      <c r="I3" s="3">
        <v>77.400000000000006</v>
      </c>
      <c r="J3" s="17">
        <v>5037936</v>
      </c>
      <c r="K3" s="18"/>
      <c r="L3" s="18"/>
      <c r="M3" s="18"/>
      <c r="N3" s="19" t="str">
        <f t="shared" si="0"/>
        <v/>
      </c>
    </row>
    <row r="4" spans="1:14" x14ac:dyDescent="0.25">
      <c r="A4" s="13">
        <v>42643</v>
      </c>
      <c r="B4" s="3">
        <v>81.400000000000006</v>
      </c>
      <c r="C4" s="3">
        <v>71.599999999999994</v>
      </c>
      <c r="D4" s="3">
        <v>81.599999999999994</v>
      </c>
      <c r="E4" s="3">
        <v>102.9</v>
      </c>
      <c r="F4" s="3">
        <v>111.8</v>
      </c>
      <c r="G4" s="3">
        <v>99.2</v>
      </c>
      <c r="H4" s="3">
        <v>92.6</v>
      </c>
      <c r="I4" s="3">
        <v>76.2</v>
      </c>
      <c r="J4" s="17">
        <v>5198026</v>
      </c>
      <c r="K4" s="18"/>
      <c r="L4" s="18"/>
      <c r="M4" s="18"/>
      <c r="N4" s="19" t="str">
        <f t="shared" si="0"/>
        <v/>
      </c>
    </row>
    <row r="5" spans="1:14" x14ac:dyDescent="0.25">
      <c r="A5" s="13">
        <v>42735</v>
      </c>
      <c r="B5" s="3">
        <v>81.400000000000006</v>
      </c>
      <c r="C5" s="3">
        <v>72</v>
      </c>
      <c r="D5" s="3">
        <v>75.5</v>
      </c>
      <c r="E5" s="3">
        <v>103.5</v>
      </c>
      <c r="F5" s="3">
        <v>109.9</v>
      </c>
      <c r="G5" s="3">
        <v>96.4</v>
      </c>
      <c r="H5" s="3">
        <v>93.9</v>
      </c>
      <c r="I5" s="3">
        <v>76.3</v>
      </c>
      <c r="J5" s="17">
        <v>5505406</v>
      </c>
      <c r="K5" s="18"/>
      <c r="L5" s="18"/>
      <c r="M5" s="18"/>
      <c r="N5" s="19" t="str">
        <f t="shared" si="0"/>
        <v/>
      </c>
    </row>
    <row r="6" spans="1:14" x14ac:dyDescent="0.25">
      <c r="A6" s="13">
        <v>42825</v>
      </c>
      <c r="B6" s="3">
        <v>83.1</v>
      </c>
      <c r="C6" s="3">
        <v>72.400000000000006</v>
      </c>
      <c r="D6" s="3">
        <v>78.8</v>
      </c>
      <c r="E6" s="3">
        <v>103</v>
      </c>
      <c r="F6" s="3">
        <v>109.8</v>
      </c>
      <c r="G6" s="3">
        <v>96.9</v>
      </c>
      <c r="H6" s="3">
        <v>93</v>
      </c>
      <c r="I6" s="3">
        <v>76.5</v>
      </c>
      <c r="J6" s="17">
        <v>5746188</v>
      </c>
      <c r="K6" s="18"/>
      <c r="L6" s="18"/>
      <c r="M6" s="18"/>
      <c r="N6" s="19" t="str">
        <f t="shared" si="0"/>
        <v/>
      </c>
    </row>
    <row r="7" spans="1:14" x14ac:dyDescent="0.25">
      <c r="A7" s="13">
        <v>42916</v>
      </c>
      <c r="B7" s="3">
        <v>83.1</v>
      </c>
      <c r="C7" s="3">
        <v>72.8</v>
      </c>
      <c r="D7" s="3">
        <v>78.400000000000006</v>
      </c>
      <c r="E7" s="3">
        <v>104.8</v>
      </c>
      <c r="F7" s="3">
        <v>111.2</v>
      </c>
      <c r="G7" s="3">
        <v>95.4</v>
      </c>
      <c r="H7" s="3">
        <v>93.7</v>
      </c>
      <c r="I7" s="3">
        <v>76.7</v>
      </c>
      <c r="J7" s="17">
        <v>6001383</v>
      </c>
      <c r="K7" s="18"/>
      <c r="L7" s="18"/>
      <c r="M7" s="18"/>
      <c r="N7" s="19" t="str">
        <f t="shared" si="0"/>
        <v/>
      </c>
    </row>
    <row r="8" spans="1:14" x14ac:dyDescent="0.25">
      <c r="A8" s="13">
        <v>43008</v>
      </c>
      <c r="B8" s="3">
        <v>85</v>
      </c>
      <c r="C8" s="3">
        <v>73.599999999999994</v>
      </c>
      <c r="D8" s="3">
        <v>79</v>
      </c>
      <c r="E8" s="3">
        <v>105.6</v>
      </c>
      <c r="F8" s="3">
        <v>113</v>
      </c>
      <c r="G8" s="3">
        <v>97</v>
      </c>
      <c r="H8" s="3">
        <v>93.1</v>
      </c>
      <c r="I8" s="3">
        <v>77.400000000000006</v>
      </c>
      <c r="J8" s="17">
        <v>6177691</v>
      </c>
      <c r="K8" s="18"/>
      <c r="L8" s="18"/>
      <c r="M8" s="18"/>
      <c r="N8" s="19" t="str">
        <f t="shared" si="0"/>
        <v/>
      </c>
    </row>
    <row r="9" spans="1:14" x14ac:dyDescent="0.25">
      <c r="A9" s="13">
        <v>43100</v>
      </c>
      <c r="B9" s="3">
        <v>85</v>
      </c>
      <c r="C9" s="3">
        <v>74.2</v>
      </c>
      <c r="D9" s="3">
        <v>80.099999999999994</v>
      </c>
      <c r="E9" s="3">
        <v>107.5</v>
      </c>
      <c r="F9" s="3">
        <v>112.6</v>
      </c>
      <c r="G9" s="3">
        <v>96.3</v>
      </c>
      <c r="H9" s="3">
        <v>94</v>
      </c>
      <c r="I9" s="3">
        <v>79.599999999999994</v>
      </c>
      <c r="J9" s="17">
        <v>6329715</v>
      </c>
      <c r="K9" s="18"/>
      <c r="L9" s="18"/>
      <c r="M9" s="18"/>
      <c r="N9" s="19" t="str">
        <f t="shared" si="0"/>
        <v/>
      </c>
    </row>
    <row r="10" spans="1:14" x14ac:dyDescent="0.25">
      <c r="A10" s="13">
        <v>43190</v>
      </c>
      <c r="B10" s="3">
        <v>87.3</v>
      </c>
      <c r="C10" s="3">
        <v>74.8</v>
      </c>
      <c r="D10" s="3">
        <v>80.900000000000006</v>
      </c>
      <c r="E10" s="3">
        <v>108.5</v>
      </c>
      <c r="F10" s="3">
        <v>114.5</v>
      </c>
      <c r="G10" s="3">
        <v>96.7</v>
      </c>
      <c r="H10" s="3">
        <v>91.9</v>
      </c>
      <c r="I10" s="3">
        <v>79.5</v>
      </c>
      <c r="J10" s="17">
        <v>6555278</v>
      </c>
      <c r="K10" s="18"/>
      <c r="L10" s="18"/>
      <c r="M10" s="18"/>
      <c r="N10" s="19" t="str">
        <f t="shared" ref="N10:N41" si="1">IF(AND(ISNUMBER(J10),ISNUMBER(M10)),J10/M10*100,"")</f>
        <v/>
      </c>
    </row>
    <row r="11" spans="1:14" x14ac:dyDescent="0.25">
      <c r="A11" s="13">
        <v>43281</v>
      </c>
      <c r="B11" s="3">
        <v>87.3</v>
      </c>
      <c r="C11" s="3">
        <v>75.599999999999994</v>
      </c>
      <c r="D11" s="3">
        <v>80.599999999999994</v>
      </c>
      <c r="E11" s="3">
        <v>108.6</v>
      </c>
      <c r="F11" s="3">
        <v>112.7</v>
      </c>
      <c r="G11" s="3">
        <v>99.7</v>
      </c>
      <c r="H11" s="3">
        <v>93.5</v>
      </c>
      <c r="I11" s="3">
        <v>80.8</v>
      </c>
      <c r="J11" s="17">
        <v>6827140.3300000001</v>
      </c>
      <c r="K11" s="18"/>
      <c r="L11" s="18"/>
      <c r="M11" s="18"/>
      <c r="N11" s="19" t="str">
        <f t="shared" si="1"/>
        <v/>
      </c>
    </row>
    <row r="12" spans="1:14" x14ac:dyDescent="0.25">
      <c r="A12" s="13">
        <v>43373</v>
      </c>
      <c r="B12" s="3">
        <v>86.3</v>
      </c>
      <c r="C12" s="3">
        <v>76.599999999999994</v>
      </c>
      <c r="D12" s="3">
        <v>81</v>
      </c>
      <c r="E12" s="3">
        <v>107.9</v>
      </c>
      <c r="F12" s="3">
        <v>113.5</v>
      </c>
      <c r="G12" s="3">
        <v>101.9</v>
      </c>
      <c r="H12" s="3">
        <v>93.7</v>
      </c>
      <c r="I12" s="3">
        <v>81.8</v>
      </c>
      <c r="J12" s="17">
        <v>6985654</v>
      </c>
      <c r="K12" s="18"/>
      <c r="L12" s="18"/>
      <c r="M12" s="18"/>
      <c r="N12" s="19" t="str">
        <f t="shared" si="1"/>
        <v/>
      </c>
    </row>
    <row r="13" spans="1:14" x14ac:dyDescent="0.25">
      <c r="A13" s="13">
        <v>43465</v>
      </c>
      <c r="B13" s="3">
        <v>86.3</v>
      </c>
      <c r="C13" s="3">
        <v>77.7</v>
      </c>
      <c r="D13" s="3">
        <v>83.1</v>
      </c>
      <c r="E13" s="3">
        <v>107.6</v>
      </c>
      <c r="F13" s="3">
        <v>111.2</v>
      </c>
      <c r="G13" s="3">
        <v>101.9</v>
      </c>
      <c r="H13" s="3">
        <v>92.5</v>
      </c>
      <c r="I13" s="3">
        <v>82.7</v>
      </c>
      <c r="J13" s="17">
        <v>7375669.1100000003</v>
      </c>
      <c r="K13" s="17">
        <v>3341470</v>
      </c>
      <c r="L13" s="17">
        <v>4376510</v>
      </c>
      <c r="M13" s="17">
        <v>7717980</v>
      </c>
      <c r="N13" s="19">
        <f t="shared" si="1"/>
        <v>95.564760597980296</v>
      </c>
    </row>
    <row r="14" spans="1:14" x14ac:dyDescent="0.25">
      <c r="A14" s="13">
        <v>43555</v>
      </c>
      <c r="B14" s="3">
        <v>87</v>
      </c>
      <c r="C14" s="3">
        <v>78.2</v>
      </c>
      <c r="D14" s="3">
        <v>82.7</v>
      </c>
      <c r="E14" s="3">
        <v>105.3</v>
      </c>
      <c r="F14" s="3">
        <v>111.9</v>
      </c>
      <c r="G14" s="3">
        <v>102.7</v>
      </c>
      <c r="H14" s="3">
        <v>91.8</v>
      </c>
      <c r="I14" s="3">
        <v>82.3</v>
      </c>
      <c r="J14" s="17">
        <v>7437086</v>
      </c>
      <c r="K14" s="17">
        <v>3288286</v>
      </c>
      <c r="L14" s="17">
        <v>4598414</v>
      </c>
      <c r="M14" s="17">
        <v>7886700</v>
      </c>
      <c r="N14" s="19">
        <f t="shared" si="1"/>
        <v>94.299085802680466</v>
      </c>
    </row>
    <row r="15" spans="1:14" x14ac:dyDescent="0.25">
      <c r="A15" s="13">
        <v>43646</v>
      </c>
      <c r="B15" s="3">
        <v>87</v>
      </c>
      <c r="C15" s="3">
        <v>78.599999999999994</v>
      </c>
      <c r="D15" s="3">
        <v>81.599999999999994</v>
      </c>
      <c r="E15" s="3">
        <v>106.4</v>
      </c>
      <c r="F15" s="3">
        <v>110.8</v>
      </c>
      <c r="G15" s="3">
        <v>104.1</v>
      </c>
      <c r="H15" s="3">
        <v>91.8</v>
      </c>
      <c r="I15" s="3">
        <v>83</v>
      </c>
      <c r="J15" s="17">
        <v>7742083</v>
      </c>
      <c r="K15" s="17">
        <v>3509020</v>
      </c>
      <c r="L15" s="17">
        <v>4724696</v>
      </c>
      <c r="M15" s="17">
        <v>8233716</v>
      </c>
      <c r="N15" s="19">
        <f t="shared" si="1"/>
        <v>94.029026505164865</v>
      </c>
    </row>
    <row r="16" spans="1:14" x14ac:dyDescent="0.25">
      <c r="A16" s="13">
        <v>43738</v>
      </c>
      <c r="B16" s="3">
        <v>86.3</v>
      </c>
      <c r="C16" s="3">
        <v>79.400000000000006</v>
      </c>
      <c r="D16" s="3">
        <v>80.099999999999994</v>
      </c>
      <c r="E16" s="3">
        <v>105</v>
      </c>
      <c r="F16" s="3">
        <v>112.1</v>
      </c>
      <c r="G16" s="3">
        <v>103.1</v>
      </c>
      <c r="H16" s="3">
        <v>92.2</v>
      </c>
      <c r="I16" s="3">
        <v>84.4</v>
      </c>
      <c r="J16" s="17">
        <v>7888910</v>
      </c>
      <c r="K16" s="17">
        <v>3649853</v>
      </c>
      <c r="L16" s="17">
        <v>4771483</v>
      </c>
      <c r="M16" s="17">
        <v>8421336</v>
      </c>
      <c r="N16" s="19">
        <f t="shared" si="1"/>
        <v>93.677653996942993</v>
      </c>
    </row>
    <row r="17" spans="1:14" x14ac:dyDescent="0.25">
      <c r="A17" s="13">
        <v>43830</v>
      </c>
      <c r="B17" s="3">
        <v>86.3</v>
      </c>
      <c r="C17" s="3">
        <v>80</v>
      </c>
      <c r="D17" s="3">
        <v>80.099999999999994</v>
      </c>
      <c r="E17" s="3">
        <v>104</v>
      </c>
      <c r="F17" s="3">
        <v>110.3</v>
      </c>
      <c r="G17" s="3">
        <v>103</v>
      </c>
      <c r="H17" s="3">
        <v>92.9</v>
      </c>
      <c r="I17" s="3">
        <v>85.2</v>
      </c>
      <c r="J17" s="17">
        <v>8195393</v>
      </c>
      <c r="K17" s="17">
        <v>3962749</v>
      </c>
      <c r="L17" s="17">
        <v>4829900</v>
      </c>
      <c r="M17" s="17">
        <v>8792649</v>
      </c>
      <c r="N17" s="19">
        <f t="shared" si="1"/>
        <v>93.207325801359758</v>
      </c>
    </row>
    <row r="18" spans="1:14" x14ac:dyDescent="0.25">
      <c r="A18" s="13">
        <v>43921</v>
      </c>
      <c r="B18" s="3">
        <v>85.3</v>
      </c>
      <c r="C18" s="3">
        <v>80.400000000000006</v>
      </c>
      <c r="D18" s="3">
        <v>81</v>
      </c>
      <c r="E18" s="3">
        <v>100.1</v>
      </c>
      <c r="F18" s="3">
        <v>109.2</v>
      </c>
      <c r="G18" s="3">
        <v>102.3</v>
      </c>
      <c r="H18" s="3">
        <v>93.4</v>
      </c>
      <c r="I18" s="3">
        <v>83.6</v>
      </c>
      <c r="J18" s="17">
        <v>8302412</v>
      </c>
      <c r="K18" s="17">
        <v>3834718</v>
      </c>
      <c r="L18" s="17">
        <v>4986181</v>
      </c>
      <c r="M18" s="17">
        <v>8820899</v>
      </c>
      <c r="N18" s="19">
        <f t="shared" si="1"/>
        <v>94.122061708222716</v>
      </c>
    </row>
    <row r="19" spans="1:14" x14ac:dyDescent="0.25">
      <c r="A19" s="13">
        <v>44012</v>
      </c>
      <c r="B19" s="3">
        <v>85.3</v>
      </c>
      <c r="C19" s="3">
        <v>80.400000000000006</v>
      </c>
      <c r="D19" s="3">
        <v>77.400000000000006</v>
      </c>
      <c r="E19" s="3">
        <v>95.2</v>
      </c>
      <c r="F19" s="3">
        <v>107.6</v>
      </c>
      <c r="G19" s="3">
        <v>100.2</v>
      </c>
      <c r="H19" s="3">
        <v>91.6</v>
      </c>
      <c r="I19" s="3">
        <v>80.400000000000006</v>
      </c>
      <c r="J19" s="17">
        <v>8494504</v>
      </c>
      <c r="K19" s="17">
        <v>4134046</v>
      </c>
      <c r="L19" s="17">
        <v>5075951</v>
      </c>
      <c r="M19" s="17">
        <v>9209997</v>
      </c>
      <c r="N19" s="19">
        <f t="shared" si="1"/>
        <v>92.2313438321424</v>
      </c>
    </row>
    <row r="20" spans="1:14" x14ac:dyDescent="0.25">
      <c r="A20" s="13">
        <v>44104</v>
      </c>
      <c r="B20" s="3">
        <v>87.1</v>
      </c>
      <c r="C20" s="3">
        <v>80.900000000000006</v>
      </c>
      <c r="D20" s="3">
        <v>76.400000000000006</v>
      </c>
      <c r="E20" s="3">
        <v>94.2</v>
      </c>
      <c r="F20" s="3">
        <v>107.3</v>
      </c>
      <c r="G20" s="3">
        <v>96.5</v>
      </c>
      <c r="H20" s="3">
        <v>91.1</v>
      </c>
      <c r="I20" s="3">
        <v>79.3</v>
      </c>
      <c r="J20" s="17">
        <v>8694050</v>
      </c>
      <c r="K20" s="17">
        <v>4374606</v>
      </c>
      <c r="L20" s="17">
        <v>5108439</v>
      </c>
      <c r="M20" s="17">
        <v>9483045</v>
      </c>
      <c r="N20" s="19">
        <f t="shared" si="1"/>
        <v>91.679940356710318</v>
      </c>
    </row>
    <row r="21" spans="1:14" x14ac:dyDescent="0.25">
      <c r="A21" s="13">
        <v>44196</v>
      </c>
      <c r="B21" s="3">
        <v>87.1</v>
      </c>
      <c r="C21" s="3">
        <v>81.7</v>
      </c>
      <c r="D21" s="3">
        <v>76.8</v>
      </c>
      <c r="E21" s="3">
        <v>93.4</v>
      </c>
      <c r="F21" s="3">
        <v>108.4</v>
      </c>
      <c r="G21" s="3">
        <v>96.9</v>
      </c>
      <c r="H21" s="3">
        <v>91.4</v>
      </c>
      <c r="I21" s="3">
        <v>78.2</v>
      </c>
      <c r="J21" s="17">
        <v>9192566</v>
      </c>
      <c r="K21" s="17">
        <v>4877985</v>
      </c>
      <c r="L21" s="17">
        <v>5141874</v>
      </c>
      <c r="M21" s="17">
        <v>10019859</v>
      </c>
      <c r="N21" s="19">
        <f t="shared" si="1"/>
        <v>91.743466649580597</v>
      </c>
    </row>
    <row r="22" spans="1:14" x14ac:dyDescent="0.25">
      <c r="A22" s="13">
        <v>44286</v>
      </c>
      <c r="B22" s="3">
        <v>89.4</v>
      </c>
      <c r="C22" s="3">
        <v>82.1</v>
      </c>
      <c r="D22" s="3">
        <v>76.8</v>
      </c>
      <c r="E22" s="3">
        <v>94.3</v>
      </c>
      <c r="F22" s="3">
        <v>110.1</v>
      </c>
      <c r="G22" s="3">
        <v>95.8</v>
      </c>
      <c r="H22" s="3">
        <v>90.9</v>
      </c>
      <c r="I22" s="3">
        <v>77</v>
      </c>
      <c r="J22" s="17">
        <v>9463868</v>
      </c>
      <c r="K22" s="17">
        <v>4919048</v>
      </c>
      <c r="L22" s="17">
        <v>5250339</v>
      </c>
      <c r="M22" s="17">
        <v>10169387</v>
      </c>
      <c r="N22" s="19">
        <f t="shared" si="1"/>
        <v>93.062325192265774</v>
      </c>
    </row>
    <row r="23" spans="1:14" x14ac:dyDescent="0.25">
      <c r="A23" s="13">
        <v>44377</v>
      </c>
      <c r="B23" s="3">
        <v>89.4</v>
      </c>
      <c r="C23" s="3">
        <v>82.2</v>
      </c>
      <c r="D23" s="3">
        <v>75.5</v>
      </c>
      <c r="E23" s="3">
        <v>93.8</v>
      </c>
      <c r="F23" s="3">
        <v>110.8</v>
      </c>
      <c r="G23" s="3">
        <v>91.9</v>
      </c>
      <c r="H23" s="3">
        <v>90.8</v>
      </c>
      <c r="I23" s="3">
        <v>76.3</v>
      </c>
      <c r="J23" s="17">
        <v>9784937</v>
      </c>
      <c r="K23" s="17">
        <v>5111176</v>
      </c>
      <c r="L23" s="17">
        <v>5293084</v>
      </c>
      <c r="M23" s="17">
        <v>10404260</v>
      </c>
      <c r="N23" s="19">
        <f t="shared" si="1"/>
        <v>94.047409426523359</v>
      </c>
    </row>
    <row r="24" spans="1:14" x14ac:dyDescent="0.25">
      <c r="A24" s="13">
        <v>44469</v>
      </c>
      <c r="B24" s="3">
        <v>90.3</v>
      </c>
      <c r="C24" s="3">
        <v>83</v>
      </c>
      <c r="D24" s="3">
        <v>75.2</v>
      </c>
      <c r="E24" s="3">
        <v>84.1</v>
      </c>
      <c r="F24" s="3">
        <v>109.6</v>
      </c>
      <c r="G24" s="3">
        <v>90.9</v>
      </c>
      <c r="H24" s="3">
        <v>90.2</v>
      </c>
      <c r="I24" s="3">
        <v>75.5</v>
      </c>
      <c r="J24" s="17">
        <v>9917032</v>
      </c>
      <c r="K24" s="17">
        <v>5258000</v>
      </c>
      <c r="L24" s="17">
        <v>5291000</v>
      </c>
      <c r="M24" s="17">
        <v>10549000</v>
      </c>
      <c r="N24" s="19">
        <f t="shared" si="1"/>
        <v>94.009214143520708</v>
      </c>
    </row>
    <row r="25" spans="1:14" x14ac:dyDescent="0.25">
      <c r="A25" s="13">
        <v>44561</v>
      </c>
      <c r="B25" s="3">
        <v>90.3</v>
      </c>
      <c r="C25" s="3">
        <v>83.2</v>
      </c>
      <c r="D25" s="3">
        <v>77.3</v>
      </c>
      <c r="E25" s="3">
        <v>82.8</v>
      </c>
      <c r="F25" s="3">
        <v>109.3</v>
      </c>
      <c r="G25" s="3">
        <v>90.4</v>
      </c>
      <c r="H25" s="3">
        <v>90.3</v>
      </c>
      <c r="I25" s="3">
        <v>74.5</v>
      </c>
      <c r="J25" s="17">
        <v>10444078</v>
      </c>
      <c r="K25" s="17">
        <v>5645352</v>
      </c>
      <c r="L25" s="17">
        <v>5300497</v>
      </c>
      <c r="M25" s="17">
        <v>10945849</v>
      </c>
      <c r="N25" s="19">
        <f t="shared" si="1"/>
        <v>95.415878658658642</v>
      </c>
    </row>
    <row r="26" spans="1:14" x14ac:dyDescent="0.25">
      <c r="A26" s="13">
        <v>44651</v>
      </c>
      <c r="B26" s="3">
        <v>92.5</v>
      </c>
      <c r="C26" s="3">
        <v>82.9</v>
      </c>
      <c r="D26" s="3">
        <v>77.7</v>
      </c>
      <c r="E26" s="3">
        <v>80.8</v>
      </c>
      <c r="F26" s="3">
        <v>109.8</v>
      </c>
      <c r="G26" s="3">
        <v>92.5</v>
      </c>
      <c r="H26" s="3">
        <v>90.9</v>
      </c>
      <c r="I26" s="3">
        <v>74.3</v>
      </c>
      <c r="J26" s="17">
        <v>11067407.98</v>
      </c>
      <c r="K26" s="17">
        <v>5864824</v>
      </c>
      <c r="L26" s="17">
        <v>5474491</v>
      </c>
      <c r="M26" s="17">
        <v>11339315</v>
      </c>
      <c r="N26" s="19">
        <f t="shared" si="1"/>
        <v>97.60208601665974</v>
      </c>
    </row>
    <row r="27" spans="1:14" x14ac:dyDescent="0.25">
      <c r="A27" s="13">
        <v>44742</v>
      </c>
      <c r="B27" s="3">
        <v>92.5</v>
      </c>
      <c r="C27" s="3">
        <v>82.4</v>
      </c>
      <c r="D27" s="3">
        <v>79.5</v>
      </c>
      <c r="E27" s="3">
        <v>79.400000000000006</v>
      </c>
      <c r="F27" s="3">
        <v>109.8</v>
      </c>
      <c r="G27" s="3">
        <v>91.9</v>
      </c>
      <c r="H27" s="3">
        <v>90.9</v>
      </c>
      <c r="I27" s="3">
        <v>75.099999999999994</v>
      </c>
      <c r="J27" s="17">
        <v>11428653.23</v>
      </c>
      <c r="K27" s="17">
        <v>5848963</v>
      </c>
      <c r="L27" s="17">
        <v>5619445</v>
      </c>
      <c r="M27" s="17">
        <v>11468408</v>
      </c>
      <c r="N27" s="19">
        <f t="shared" si="1"/>
        <v>99.65335406623133</v>
      </c>
    </row>
    <row r="28" spans="1:14" x14ac:dyDescent="0.25">
      <c r="A28" s="13">
        <v>44834</v>
      </c>
      <c r="B28" s="3">
        <v>94.2</v>
      </c>
      <c r="C28" s="3">
        <v>82.9</v>
      </c>
      <c r="D28" s="3">
        <v>80.5</v>
      </c>
      <c r="E28" s="3">
        <v>77.400000000000006</v>
      </c>
      <c r="F28" s="3">
        <v>108.3</v>
      </c>
      <c r="G28" s="3">
        <v>94</v>
      </c>
      <c r="H28" s="3">
        <v>89.8</v>
      </c>
      <c r="I28" s="3">
        <v>75.2</v>
      </c>
      <c r="J28" s="17">
        <v>11597310.32</v>
      </c>
      <c r="K28" s="17">
        <v>5782430</v>
      </c>
      <c r="L28" s="17">
        <v>5638437</v>
      </c>
      <c r="M28" s="17">
        <v>11420867</v>
      </c>
      <c r="N28" s="19">
        <f t="shared" si="1"/>
        <v>101.54492053886976</v>
      </c>
    </row>
    <row r="29" spans="1:14" x14ac:dyDescent="0.25">
      <c r="A29" s="13">
        <v>44926</v>
      </c>
      <c r="B29" s="3">
        <v>94.2</v>
      </c>
      <c r="C29" s="3">
        <v>82.9</v>
      </c>
      <c r="D29" s="3">
        <v>81.599999999999994</v>
      </c>
      <c r="E29" s="3">
        <v>75.2</v>
      </c>
      <c r="F29" s="3">
        <v>108</v>
      </c>
      <c r="G29" s="3">
        <v>90.9</v>
      </c>
      <c r="H29" s="3">
        <v>89.9</v>
      </c>
      <c r="I29" s="3">
        <v>74.099999999999994</v>
      </c>
      <c r="J29" s="17">
        <v>11924433.609999999</v>
      </c>
      <c r="K29" s="17">
        <v>5953705</v>
      </c>
      <c r="L29" s="17">
        <v>5865757</v>
      </c>
      <c r="M29" s="17">
        <v>11819462</v>
      </c>
      <c r="N29" s="19">
        <f t="shared" si="1"/>
        <v>100.8881251109399</v>
      </c>
    </row>
    <row r="30" spans="1:14" x14ac:dyDescent="0.25">
      <c r="A30" s="13">
        <v>45016</v>
      </c>
      <c r="B30" s="3">
        <v>97.1</v>
      </c>
      <c r="C30" s="3">
        <v>82.3</v>
      </c>
      <c r="D30" s="3">
        <v>81.099999999999994</v>
      </c>
      <c r="E30" s="3">
        <v>72.5</v>
      </c>
      <c r="F30" s="3">
        <v>109.3</v>
      </c>
      <c r="G30" s="3">
        <v>92.4</v>
      </c>
      <c r="H30" s="3">
        <v>89.5</v>
      </c>
      <c r="I30" s="3">
        <v>73.2</v>
      </c>
      <c r="J30" s="17">
        <v>12231723.640000001</v>
      </c>
      <c r="K30" s="17">
        <v>5663747</v>
      </c>
      <c r="L30" s="17">
        <v>6280815</v>
      </c>
      <c r="M30" s="17">
        <v>11944562</v>
      </c>
      <c r="N30" s="19">
        <f t="shared" si="1"/>
        <v>102.40412030177414</v>
      </c>
    </row>
    <row r="31" spans="1:14" x14ac:dyDescent="0.25">
      <c r="A31" s="13">
        <v>45107</v>
      </c>
      <c r="B31" s="3">
        <v>97.1</v>
      </c>
      <c r="C31" s="3">
        <v>82.8</v>
      </c>
      <c r="D31" s="3">
        <v>81.2</v>
      </c>
      <c r="E31" s="3">
        <v>72.8</v>
      </c>
      <c r="F31" s="3">
        <v>109.8</v>
      </c>
      <c r="G31" s="3">
        <v>95.3</v>
      </c>
      <c r="H31" s="3">
        <v>89.9</v>
      </c>
      <c r="I31" s="3">
        <v>75.2</v>
      </c>
      <c r="J31" s="17">
        <v>12487912.51</v>
      </c>
      <c r="K31" s="17">
        <v>5983924</v>
      </c>
      <c r="L31" s="17">
        <v>6382886</v>
      </c>
      <c r="M31" s="17">
        <v>12366810</v>
      </c>
      <c r="N31" s="19">
        <f t="shared" si="1"/>
        <v>100.97925422966796</v>
      </c>
    </row>
    <row r="32" spans="1:14" x14ac:dyDescent="0.25">
      <c r="A32" s="13">
        <v>45199</v>
      </c>
      <c r="B32" s="3">
        <v>96.9</v>
      </c>
      <c r="C32" s="3">
        <v>83.6</v>
      </c>
      <c r="D32" s="3">
        <v>84.5</v>
      </c>
      <c r="E32" s="3">
        <v>70.599999999999994</v>
      </c>
      <c r="F32" s="3">
        <v>108.8</v>
      </c>
      <c r="G32" s="3">
        <v>95.8</v>
      </c>
      <c r="H32" s="3">
        <v>90.6</v>
      </c>
      <c r="I32" s="3">
        <v>75.2</v>
      </c>
      <c r="J32" s="17">
        <v>12754669.119999999</v>
      </c>
      <c r="K32" s="17">
        <v>6230561</v>
      </c>
      <c r="L32" s="17">
        <v>6449251</v>
      </c>
      <c r="M32" s="17">
        <v>12679812</v>
      </c>
      <c r="N32" s="19">
        <f t="shared" si="1"/>
        <v>100.59036458900179</v>
      </c>
    </row>
    <row r="33" spans="1:14" x14ac:dyDescent="0.25">
      <c r="A33" s="13">
        <v>45291</v>
      </c>
      <c r="B33" s="3">
        <v>98</v>
      </c>
      <c r="C33" s="3">
        <v>83.6</v>
      </c>
      <c r="D33" s="3">
        <v>86.2</v>
      </c>
      <c r="E33" s="3">
        <v>70</v>
      </c>
      <c r="F33" s="3">
        <v>108.3</v>
      </c>
      <c r="G33" s="3">
        <v>94.1</v>
      </c>
      <c r="H33" s="3">
        <v>90</v>
      </c>
      <c r="I33" s="3">
        <v>76.5</v>
      </c>
      <c r="J33" s="17">
        <v>13568977.92</v>
      </c>
      <c r="K33" s="17">
        <v>6841733</v>
      </c>
      <c r="L33" s="17">
        <v>6532741</v>
      </c>
      <c r="M33" s="17">
        <v>13374474</v>
      </c>
      <c r="N33" s="19">
        <f t="shared" si="1"/>
        <v>101.45429210898314</v>
      </c>
    </row>
    <row r="34" spans="1:14" x14ac:dyDescent="0.25">
      <c r="A34" s="13">
        <v>45382</v>
      </c>
      <c r="B34" s="3">
        <v>99.8</v>
      </c>
      <c r="C34" s="3">
        <v>83.5</v>
      </c>
      <c r="D34" s="3">
        <v>84.3</v>
      </c>
      <c r="E34" s="3">
        <v>69.2</v>
      </c>
      <c r="F34" s="3">
        <v>105.6</v>
      </c>
      <c r="G34" s="3">
        <v>94.4</v>
      </c>
      <c r="H34" s="3">
        <v>90.3</v>
      </c>
      <c r="I34" s="3">
        <v>75.7</v>
      </c>
      <c r="J34" s="17">
        <v>13761415.869999999</v>
      </c>
      <c r="K34" s="17">
        <v>6627054</v>
      </c>
      <c r="L34" s="17">
        <v>6676154</v>
      </c>
      <c r="M34" s="17">
        <v>13303208</v>
      </c>
      <c r="N34" s="19">
        <f t="shared" si="1"/>
        <v>103.44434116943822</v>
      </c>
    </row>
    <row r="35" spans="1:14" x14ac:dyDescent="0.25">
      <c r="A35" s="13">
        <v>45473</v>
      </c>
      <c r="B35" s="3">
        <v>101.6</v>
      </c>
      <c r="C35" s="3">
        <v>84.6</v>
      </c>
      <c r="D35" s="3">
        <v>85.4</v>
      </c>
      <c r="E35" s="3">
        <v>68.7</v>
      </c>
      <c r="F35" s="3">
        <v>106.7</v>
      </c>
      <c r="G35" s="3">
        <v>94.5</v>
      </c>
      <c r="H35" s="3">
        <v>91.5</v>
      </c>
      <c r="I35" s="3">
        <v>76.2</v>
      </c>
      <c r="J35" s="17">
        <v>14396261.98</v>
      </c>
      <c r="K35" s="17">
        <v>6907602</v>
      </c>
      <c r="L35" s="17">
        <v>6817239</v>
      </c>
      <c r="M35" s="17">
        <v>13724841</v>
      </c>
      <c r="N35" s="19">
        <f t="shared" si="1"/>
        <v>104.89201281093166</v>
      </c>
    </row>
    <row r="36" spans="1:14" x14ac:dyDescent="0.25">
      <c r="A36" s="13">
        <v>45565</v>
      </c>
      <c r="B36" s="3">
        <v>102.2</v>
      </c>
      <c r="C36" s="3">
        <v>84</v>
      </c>
      <c r="D36" s="3">
        <v>85</v>
      </c>
      <c r="E36" s="3">
        <v>68.900000000000006</v>
      </c>
      <c r="F36" s="3">
        <v>106.3</v>
      </c>
      <c r="G36" s="3">
        <v>95.2</v>
      </c>
      <c r="H36" s="3">
        <v>92.4</v>
      </c>
      <c r="I36" s="3">
        <v>79.7</v>
      </c>
      <c r="J36" s="17">
        <v>14805563.369999999</v>
      </c>
      <c r="K36" s="17">
        <v>7076456</v>
      </c>
      <c r="L36" s="17">
        <v>6957686</v>
      </c>
      <c r="M36" s="17">
        <v>14034142</v>
      </c>
      <c r="N36" s="19">
        <f t="shared" si="1"/>
        <v>105.49674764584825</v>
      </c>
    </row>
    <row r="37" spans="1:14" x14ac:dyDescent="0.25">
      <c r="A37" s="13">
        <v>45657</v>
      </c>
      <c r="B37" s="3">
        <v>102.8</v>
      </c>
      <c r="C37" s="3">
        <v>84.2</v>
      </c>
      <c r="D37" s="3">
        <v>86.2</v>
      </c>
      <c r="E37" s="3">
        <v>68.400000000000006</v>
      </c>
      <c r="F37" s="3">
        <v>106.4</v>
      </c>
      <c r="G37" s="3">
        <v>96.5</v>
      </c>
      <c r="H37" s="3">
        <v>92.4</v>
      </c>
      <c r="I37" s="3">
        <v>79.7</v>
      </c>
      <c r="J37" s="17">
        <v>15616213.73</v>
      </c>
      <c r="K37" s="17">
        <v>7667208</v>
      </c>
      <c r="L37" s="17">
        <v>7065062</v>
      </c>
      <c r="M37" s="17">
        <v>14732270</v>
      </c>
      <c r="N37" s="19">
        <f t="shared" si="1"/>
        <v>106.00005111228616</v>
      </c>
    </row>
    <row r="38" spans="1:14" x14ac:dyDescent="0.25">
      <c r="A38" s="13">
        <v>45747</v>
      </c>
      <c r="B38" s="3">
        <v>105.4</v>
      </c>
      <c r="C38" s="3">
        <v>83.6</v>
      </c>
      <c r="D38" s="3">
        <v>85.3</v>
      </c>
      <c r="E38" s="3">
        <v>67.8</v>
      </c>
      <c r="F38" s="3">
        <v>104.9</v>
      </c>
      <c r="G38" s="3">
        <v>96.1</v>
      </c>
      <c r="H38" s="3">
        <v>92.7</v>
      </c>
      <c r="I38" s="3">
        <v>81.8</v>
      </c>
      <c r="J38" s="17">
        <v>16226458.02</v>
      </c>
      <c r="K38" s="17">
        <v>7520233</v>
      </c>
      <c r="L38" s="17">
        <v>7469971</v>
      </c>
      <c r="M38" s="17">
        <v>14990204</v>
      </c>
      <c r="N38" s="19">
        <f t="shared" si="1"/>
        <v>108.24707935929356</v>
      </c>
    </row>
    <row r="39" spans="1:14" x14ac:dyDescent="0.25">
      <c r="A39" s="13">
        <v>45838</v>
      </c>
      <c r="B39" s="3">
        <v>103.7</v>
      </c>
      <c r="C39" s="3">
        <v>83.2</v>
      </c>
      <c r="D39" s="3">
        <v>85.3</v>
      </c>
      <c r="E39" s="3">
        <v>67.400000000000006</v>
      </c>
      <c r="F39" s="3">
        <v>105.8</v>
      </c>
      <c r="G39" s="3">
        <v>94.8</v>
      </c>
      <c r="H39" s="3">
        <v>93.5</v>
      </c>
      <c r="I39" s="3">
        <v>80.400000000000006</v>
      </c>
      <c r="J39" s="17">
        <v>17163138.399999999</v>
      </c>
      <c r="K39" s="17">
        <v>8104341</v>
      </c>
      <c r="L39" s="17">
        <v>7694546</v>
      </c>
      <c r="M39" s="17">
        <v>15798887</v>
      </c>
      <c r="N39" s="19">
        <f t="shared" si="1"/>
        <v>108.63511081508462</v>
      </c>
    </row>
    <row r="40" spans="1:14" x14ac:dyDescent="0.25">
      <c r="A40" s="13">
        <v>45930</v>
      </c>
      <c r="B40" s="3">
        <v>107.3</v>
      </c>
      <c r="C40" s="3">
        <v>82.6</v>
      </c>
      <c r="D40" s="3">
        <v>86.3</v>
      </c>
      <c r="E40" s="3">
        <v>66.8</v>
      </c>
      <c r="F40" s="3">
        <v>103.5</v>
      </c>
      <c r="G40" s="3">
        <v>92</v>
      </c>
      <c r="H40" s="3">
        <v>92.9</v>
      </c>
      <c r="I40" s="3">
        <v>81.3</v>
      </c>
      <c r="J40" s="17">
        <v>17780620.952978</v>
      </c>
      <c r="K40" s="17">
        <v>8350231</v>
      </c>
      <c r="L40" s="17">
        <v>7832399</v>
      </c>
      <c r="M40" s="17">
        <v>16182630</v>
      </c>
      <c r="N40" s="19">
        <f t="shared" si="1"/>
        <v>109.87472958955374</v>
      </c>
    </row>
    <row r="41" spans="1:14" x14ac:dyDescent="0.25">
      <c r="A41" s="13">
        <v>46022</v>
      </c>
      <c r="B41" s="3">
        <v>107.1</v>
      </c>
      <c r="C41" s="3">
        <v>82</v>
      </c>
      <c r="D41" s="3">
        <v>88.1</v>
      </c>
      <c r="E41" s="3">
        <v>67.7</v>
      </c>
      <c r="F41" s="3">
        <v>102.9</v>
      </c>
      <c r="G41" s="3">
        <v>93.2</v>
      </c>
      <c r="H41" s="3">
        <v>93.2</v>
      </c>
      <c r="I41" s="3">
        <v>82.4</v>
      </c>
      <c r="J41" s="17">
        <v>18815882</v>
      </c>
      <c r="K41" s="17">
        <v>6180504</v>
      </c>
      <c r="L41" s="17">
        <v>10335383</v>
      </c>
      <c r="M41" s="17">
        <v>16515887</v>
      </c>
      <c r="N41" s="19">
        <f t="shared" si="1"/>
        <v>113.92595505164209</v>
      </c>
    </row>
    <row r="42" spans="1:14" x14ac:dyDescent="0.25">
      <c r="A42" s="13">
        <v>46112</v>
      </c>
      <c r="B42">
        <v>111.9</v>
      </c>
      <c r="C42" s="4">
        <v>81.239999999999995</v>
      </c>
      <c r="D42" s="3">
        <v>87.9</v>
      </c>
      <c r="E42" s="3">
        <v>67.2</v>
      </c>
      <c r="F42" s="3">
        <v>101</v>
      </c>
      <c r="G42" s="3">
        <v>92.4</v>
      </c>
      <c r="H42" s="3">
        <v>93.3</v>
      </c>
      <c r="I42" s="3">
        <v>81.7</v>
      </c>
      <c r="J42" s="17">
        <v>19186824</v>
      </c>
      <c r="K42" s="17">
        <v>6014229</v>
      </c>
      <c r="L42" s="17">
        <v>10561351</v>
      </c>
      <c r="M42" s="17">
        <v>16575580</v>
      </c>
      <c r="N42" s="19">
        <f t="shared" ref="N42:N43" si="2">IF(AND(ISNUMBER(J42),ISNUMBER(M42)),J42/M42*100,"")</f>
        <v>115.75356035806892</v>
      </c>
    </row>
    <row r="43" spans="1:14" x14ac:dyDescent="0.25">
      <c r="A43" s="13">
        <v>46203</v>
      </c>
      <c r="B43" s="4">
        <v>113</v>
      </c>
      <c r="C43" s="4">
        <v>80.84</v>
      </c>
      <c r="D43" s="4">
        <v>83.6</v>
      </c>
      <c r="E43" s="3">
        <v>70</v>
      </c>
      <c r="G43" s="4">
        <v>88.32</v>
      </c>
      <c r="H43" s="4">
        <v>88.3</v>
      </c>
      <c r="I43" s="4">
        <v>79.400000000000006</v>
      </c>
      <c r="J43" s="17">
        <v>20150411</v>
      </c>
      <c r="K43" s="17">
        <v>6371536</v>
      </c>
      <c r="L43" s="17">
        <v>11068825</v>
      </c>
      <c r="M43" s="17">
        <v>17440361</v>
      </c>
      <c r="N43" s="19">
        <f t="shared" si="2"/>
        <v>115.53895587367715</v>
      </c>
    </row>
  </sheetData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1_Kenh_dau_tu</vt:lpstr>
      <vt:lpstr>2_Fed_vs_NHNN</vt:lpstr>
      <vt:lpstr>3_Tin_dung_GDP</vt:lpstr>
      <vt:lpstr>4_Du_tru_XNK</vt:lpstr>
      <vt:lpstr>4_Du_tru_XNK_Quy</vt:lpstr>
      <vt:lpstr>5_LDR_khu_vuc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Quốc Khánh</cp:lastModifiedBy>
  <dcterms:created xsi:type="dcterms:W3CDTF">2026-10-08T07:30:13Z</dcterms:created>
  <dcterms:modified xsi:type="dcterms:W3CDTF">2026-10-08T08:41:02Z</dcterms:modified>
</cp:coreProperties>
</file>